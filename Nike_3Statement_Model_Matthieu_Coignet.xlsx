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dy/Documents/Finance Job Plan/Projet 1 3 Statements/"/>
    </mc:Choice>
  </mc:AlternateContent>
  <xr:revisionPtr revIDLastSave="0" documentId="8_{B5C8877F-66E0-6641-818F-E161C8AFD515}" xr6:coauthVersionLast="47" xr6:coauthVersionMax="47" xr10:uidLastSave="{00000000-0000-0000-0000-000000000000}"/>
  <bookViews>
    <workbookView xWindow="160" yWindow="920" windowWidth="29080" windowHeight="16800" activeTab="1" xr2:uid="{EB193B85-081A-1642-9A28-BB81089FD735}"/>
  </bookViews>
  <sheets>
    <sheet name="01-Assumption" sheetId="1" r:id="rId1"/>
    <sheet name="02-IS" sheetId="2" r:id="rId2"/>
    <sheet name="03-CFS" sheetId="3" r:id="rId3"/>
    <sheet name="04-BS" sheetId="4" r:id="rId4"/>
    <sheet name="05-DASH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5" l="1"/>
  <c r="E49" i="5"/>
  <c r="D49" i="5"/>
  <c r="C49" i="5"/>
  <c r="B49" i="5"/>
  <c r="D44" i="5"/>
  <c r="C44" i="5"/>
  <c r="B44" i="5"/>
  <c r="D43" i="5"/>
  <c r="C43" i="5"/>
  <c r="B43" i="5"/>
  <c r="D42" i="5"/>
  <c r="C42" i="5"/>
  <c r="B42" i="5"/>
  <c r="D38" i="5"/>
  <c r="C38" i="5"/>
  <c r="B38" i="5"/>
  <c r="D37" i="5"/>
  <c r="C37" i="5"/>
  <c r="B37" i="5"/>
  <c r="D33" i="5"/>
  <c r="C33" i="5"/>
  <c r="B33" i="5"/>
  <c r="D32" i="5"/>
  <c r="C32" i="5"/>
  <c r="B32" i="5"/>
  <c r="D31" i="5"/>
  <c r="C31" i="5"/>
  <c r="B31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K9" i="2"/>
  <c r="J9" i="2"/>
  <c r="K8" i="2"/>
  <c r="J8" i="2"/>
  <c r="K7" i="2"/>
  <c r="J7" i="2"/>
  <c r="K6" i="2"/>
  <c r="J6" i="2"/>
  <c r="K5" i="2"/>
  <c r="J5" i="2"/>
  <c r="K4" i="2"/>
  <c r="J4" i="2"/>
  <c r="E41" i="4"/>
  <c r="F14" i="4"/>
  <c r="E14" i="4"/>
  <c r="E39" i="4"/>
  <c r="F39" i="4"/>
  <c r="E34" i="4"/>
  <c r="F34" i="4" s="1"/>
  <c r="F33" i="4"/>
  <c r="E33" i="4"/>
  <c r="E29" i="4"/>
  <c r="F29" i="4"/>
  <c r="E24" i="4"/>
  <c r="F24" i="4" s="1"/>
  <c r="E25" i="4"/>
  <c r="F25" i="4"/>
  <c r="E26" i="4"/>
  <c r="F26" i="4"/>
  <c r="E27" i="4"/>
  <c r="F27" i="4"/>
  <c r="E28" i="4"/>
  <c r="F28" i="4"/>
  <c r="F23" i="4"/>
  <c r="E23" i="4"/>
  <c r="F15" i="4"/>
  <c r="F16" i="4"/>
  <c r="F17" i="4"/>
  <c r="E16" i="4"/>
  <c r="E17" i="4"/>
  <c r="E15" i="4"/>
  <c r="F7" i="4"/>
  <c r="F8" i="4"/>
  <c r="F9" i="4"/>
  <c r="F10" i="4"/>
  <c r="E8" i="4"/>
  <c r="E9" i="4"/>
  <c r="E10" i="4"/>
  <c r="E7" i="4"/>
  <c r="E31" i="3"/>
  <c r="F30" i="3"/>
  <c r="E30" i="3"/>
  <c r="E27" i="3"/>
  <c r="F26" i="3"/>
  <c r="E26" i="3"/>
  <c r="F25" i="3"/>
  <c r="E25" i="3"/>
  <c r="E32" i="4" s="1"/>
  <c r="F24" i="3"/>
  <c r="E24" i="3"/>
  <c r="F23" i="3"/>
  <c r="E23" i="3"/>
  <c r="F19" i="3"/>
  <c r="F18" i="3"/>
  <c r="E19" i="3"/>
  <c r="E18" i="3"/>
  <c r="F10" i="3"/>
  <c r="F11" i="3"/>
  <c r="F12" i="3"/>
  <c r="F13" i="3"/>
  <c r="E10" i="3"/>
  <c r="E11" i="3"/>
  <c r="E12" i="3"/>
  <c r="E13" i="3"/>
  <c r="F9" i="3"/>
  <c r="F8" i="3"/>
  <c r="E9" i="3"/>
  <c r="E8" i="3"/>
  <c r="F7" i="3"/>
  <c r="E7" i="3"/>
  <c r="E6" i="3"/>
  <c r="K21" i="2"/>
  <c r="J21" i="2"/>
  <c r="K20" i="2"/>
  <c r="J20" i="2"/>
  <c r="D17" i="1"/>
  <c r="C17" i="1"/>
  <c r="B17" i="1"/>
  <c r="D16" i="1"/>
  <c r="C16" i="1"/>
  <c r="B16" i="1"/>
  <c r="B21" i="1"/>
  <c r="D21" i="1"/>
  <c r="C21" i="1"/>
  <c r="K10" i="2"/>
  <c r="J10" i="2"/>
  <c r="J11" i="2"/>
  <c r="E17" i="3" s="1"/>
  <c r="E20" i="3" s="1"/>
  <c r="C32" i="3"/>
  <c r="D32" i="3"/>
  <c r="B32" i="3"/>
  <c r="C22" i="2"/>
  <c r="D22" i="2"/>
  <c r="B22" i="2"/>
  <c r="D29" i="1"/>
  <c r="D30" i="1"/>
  <c r="C29" i="1"/>
  <c r="C30" i="1"/>
  <c r="B29" i="1"/>
  <c r="B30" i="1"/>
  <c r="C28" i="1"/>
  <c r="D28" i="1"/>
  <c r="B28" i="1"/>
  <c r="C42" i="4"/>
  <c r="H42" i="4" s="1"/>
  <c r="D42" i="4"/>
  <c r="B42" i="4"/>
  <c r="C35" i="4"/>
  <c r="D35" i="4"/>
  <c r="B35" i="4"/>
  <c r="C29" i="4"/>
  <c r="D29" i="4"/>
  <c r="B29" i="4"/>
  <c r="C18" i="4"/>
  <c r="D18" i="4"/>
  <c r="B18" i="4"/>
  <c r="C11" i="4"/>
  <c r="D11" i="4"/>
  <c r="B11" i="4"/>
  <c r="C27" i="3"/>
  <c r="D27" i="3"/>
  <c r="B27" i="3"/>
  <c r="C20" i="3"/>
  <c r="D20" i="3"/>
  <c r="B20" i="3"/>
  <c r="C16" i="2"/>
  <c r="D16" i="2"/>
  <c r="B16" i="2"/>
  <c r="C11" i="2"/>
  <c r="C22" i="1" s="1"/>
  <c r="D11" i="2"/>
  <c r="D22" i="1" s="1"/>
  <c r="B11" i="2"/>
  <c r="B22" i="1" s="1"/>
  <c r="J12" i="2" l="1"/>
  <c r="J13" i="2" s="1"/>
  <c r="J14" i="2"/>
  <c r="F27" i="3"/>
  <c r="J18" i="2"/>
  <c r="F32" i="4"/>
  <c r="F35" i="4" s="1"/>
  <c r="F36" i="4" s="1"/>
  <c r="E35" i="4"/>
  <c r="E36" i="4" s="1"/>
  <c r="K11" i="2"/>
  <c r="J15" i="2"/>
  <c r="J16" i="2" s="1"/>
  <c r="J17" i="2" s="1"/>
  <c r="F18" i="4"/>
  <c r="E18" i="4"/>
  <c r="I42" i="4"/>
  <c r="D36" i="4"/>
  <c r="D43" i="4" s="1"/>
  <c r="H29" i="4"/>
  <c r="B36" i="4"/>
  <c r="B43" i="4" s="1"/>
  <c r="I29" i="4"/>
  <c r="C36" i="4"/>
  <c r="C43" i="4" s="1"/>
  <c r="C19" i="4"/>
  <c r="D19" i="4"/>
  <c r="D45" i="4" s="1"/>
  <c r="B19" i="4"/>
  <c r="B13" i="5"/>
  <c r="I20" i="3"/>
  <c r="I27" i="3"/>
  <c r="H20" i="3"/>
  <c r="H27" i="3"/>
  <c r="D15" i="1"/>
  <c r="D18" i="5"/>
  <c r="G11" i="2"/>
  <c r="D13" i="2"/>
  <c r="D17" i="2" s="1"/>
  <c r="D8" i="5"/>
  <c r="F11" i="2"/>
  <c r="C15" i="1"/>
  <c r="I11" i="2"/>
  <c r="C18" i="5"/>
  <c r="D5" i="1"/>
  <c r="C13" i="2"/>
  <c r="B15" i="1"/>
  <c r="C8" i="5"/>
  <c r="H11" i="2"/>
  <c r="B13" i="2"/>
  <c r="B17" i="2" s="1"/>
  <c r="E11" i="2"/>
  <c r="C5" i="1"/>
  <c r="B18" i="5"/>
  <c r="D13" i="5"/>
  <c r="C13" i="5"/>
  <c r="J22" i="2" l="1"/>
  <c r="J19" i="2"/>
  <c r="F17" i="3"/>
  <c r="F20" i="3" s="1"/>
  <c r="K15" i="2"/>
  <c r="K14" i="2"/>
  <c r="K18" i="2"/>
  <c r="K12" i="2"/>
  <c r="K13" i="2"/>
  <c r="F6" i="3"/>
  <c r="H19" i="4"/>
  <c r="B45" i="4"/>
  <c r="I43" i="4"/>
  <c r="I36" i="4"/>
  <c r="H43" i="4"/>
  <c r="C45" i="4"/>
  <c r="H36" i="4"/>
  <c r="I19" i="4"/>
  <c r="E13" i="5"/>
  <c r="F18" i="5"/>
  <c r="E17" i="2"/>
  <c r="D6" i="5"/>
  <c r="G13" i="2"/>
  <c r="D14" i="1"/>
  <c r="G17" i="2"/>
  <c r="D19" i="2"/>
  <c r="G19" i="2" s="1"/>
  <c r="I13" i="2"/>
  <c r="C17" i="2"/>
  <c r="C19" i="2" s="1"/>
  <c r="E18" i="5"/>
  <c r="C14" i="1"/>
  <c r="F13" i="2"/>
  <c r="C6" i="5"/>
  <c r="B19" i="2"/>
  <c r="E19" i="2" s="1"/>
  <c r="H13" i="2"/>
  <c r="B14" i="1"/>
  <c r="E13" i="2"/>
  <c r="B6" i="5"/>
  <c r="D24" i="2"/>
  <c r="D18" i="1"/>
  <c r="B24" i="2"/>
  <c r="B18" i="1"/>
  <c r="F13" i="5"/>
  <c r="K16" i="2" l="1"/>
  <c r="K17" i="2"/>
  <c r="J23" i="2"/>
  <c r="J24" i="2" s="1"/>
  <c r="F6" i="5"/>
  <c r="F17" i="2"/>
  <c r="C24" i="2"/>
  <c r="I24" i="2" s="1"/>
  <c r="I19" i="2"/>
  <c r="D12" i="5"/>
  <c r="D7" i="5"/>
  <c r="H17" i="2"/>
  <c r="I17" i="2"/>
  <c r="E6" i="5"/>
  <c r="B12" i="5"/>
  <c r="B7" i="5"/>
  <c r="B11" i="5"/>
  <c r="B5" i="5"/>
  <c r="B5" i="3"/>
  <c r="B14" i="3" s="1"/>
  <c r="E24" i="2"/>
  <c r="H19" i="2"/>
  <c r="F19" i="2"/>
  <c r="C7" i="5"/>
  <c r="C12" i="5"/>
  <c r="D11" i="5"/>
  <c r="D5" i="5"/>
  <c r="D5" i="3"/>
  <c r="D14" i="3" s="1"/>
  <c r="G24" i="2"/>
  <c r="E5" i="3" l="1"/>
  <c r="E14" i="3" s="1"/>
  <c r="E40" i="4"/>
  <c r="K19" i="2"/>
  <c r="K22" i="2"/>
  <c r="C18" i="1"/>
  <c r="E7" i="5"/>
  <c r="E12" i="5"/>
  <c r="D29" i="3"/>
  <c r="D34" i="3"/>
  <c r="F7" i="5"/>
  <c r="B29" i="3"/>
  <c r="B34" i="3"/>
  <c r="F12" i="5"/>
  <c r="C5" i="5"/>
  <c r="E5" i="5" s="1"/>
  <c r="C5" i="3"/>
  <c r="C14" i="3" s="1"/>
  <c r="I14" i="3" s="1"/>
  <c r="C11" i="5"/>
  <c r="E11" i="5" s="1"/>
  <c r="F24" i="2"/>
  <c r="H24" i="2"/>
  <c r="K23" i="2" l="1"/>
  <c r="K24" i="2" s="1"/>
  <c r="E29" i="3"/>
  <c r="E32" i="3" s="1"/>
  <c r="E34" i="3"/>
  <c r="B16" i="5"/>
  <c r="B17" i="5"/>
  <c r="F11" i="5"/>
  <c r="F5" i="5"/>
  <c r="D16" i="5"/>
  <c r="D17" i="5"/>
  <c r="C29" i="3"/>
  <c r="H14" i="3"/>
  <c r="C34" i="3"/>
  <c r="F5" i="3" l="1"/>
  <c r="F14" i="3" s="1"/>
  <c r="F40" i="4"/>
  <c r="E6" i="4"/>
  <c r="E11" i="4" s="1"/>
  <c r="E19" i="4" s="1"/>
  <c r="F31" i="3"/>
  <c r="C16" i="5"/>
  <c r="E16" i="5" s="1"/>
  <c r="H34" i="3"/>
  <c r="C17" i="5"/>
  <c r="E17" i="5" s="1"/>
  <c r="F16" i="5"/>
  <c r="I34" i="3"/>
  <c r="F29" i="3" l="1"/>
  <c r="F32" i="3" s="1"/>
  <c r="F6" i="4" s="1"/>
  <c r="F11" i="4" s="1"/>
  <c r="F19" i="4" s="1"/>
  <c r="F34" i="3"/>
  <c r="F17" i="5"/>
  <c r="F42" i="4"/>
  <c r="F43" i="4" s="1"/>
  <c r="F45" i="4" s="1"/>
  <c r="F41" i="4"/>
  <c r="E42" i="4"/>
  <c r="E43" i="4" s="1"/>
  <c r="E45" i="4" s="1"/>
</calcChain>
</file>

<file path=xl/sharedStrings.xml><?xml version="1.0" encoding="utf-8"?>
<sst xmlns="http://schemas.openxmlformats.org/spreadsheetml/2006/main" count="293" uniqueCount="242">
  <si>
    <t>NIKE INC — INCOME STATEMENT ($ in millions)</t>
  </si>
  <si>
    <t>Line Item</t>
  </si>
  <si>
    <t>FY2023A</t>
  </si>
  <si>
    <t>FY2024A</t>
  </si>
  <si>
    <t>FY2025A</t>
  </si>
  <si>
    <t>Margin % FY23</t>
  </si>
  <si>
    <t>Margin % FY24</t>
  </si>
  <si>
    <t>Margin % FY25</t>
  </si>
  <si>
    <t>YoY % 23→24</t>
  </si>
  <si>
    <t>YoY % 24→25</t>
  </si>
  <si>
    <t>North America</t>
  </si>
  <si>
    <t>Europe, Middle East &amp; Africa</t>
  </si>
  <si>
    <t>Asia Pacific &amp; Latin America</t>
  </si>
  <si>
    <t>Global Brand Divisions</t>
  </si>
  <si>
    <t>TOTAL REVENUES</t>
  </si>
  <si>
    <t>Cost of Sales</t>
  </si>
  <si>
    <t>GROSS PROFIT</t>
  </si>
  <si>
    <t>Demand creation expense</t>
  </si>
  <si>
    <t>Operating overhead expense</t>
  </si>
  <si>
    <t>TOTAL SG&amp;A</t>
  </si>
  <si>
    <t>EBIT</t>
  </si>
  <si>
    <t>D&amp;A (add-back)</t>
  </si>
  <si>
    <t>EBITDA</t>
  </si>
  <si>
    <t>Interest expense, net</t>
  </si>
  <si>
    <t>EBT</t>
  </si>
  <si>
    <t>Income tax expense</t>
  </si>
  <si>
    <t>NET INCOME</t>
  </si>
  <si>
    <t>NIKE INC — CASH FLOW STATEMENT ($ in millions)</t>
  </si>
  <si>
    <t>Net Income</t>
  </si>
  <si>
    <t>OPERATING ACTIVITIES</t>
  </si>
  <si>
    <t>Depreciation &amp; Amortization</t>
  </si>
  <si>
    <t>Stock-based compensation</t>
  </si>
  <si>
    <t>Deferred income taxes</t>
  </si>
  <si>
    <t>(Increase)/decrease in Accounts Receivable</t>
  </si>
  <si>
    <t>(Increase)/decrease in Inventories</t>
  </si>
  <si>
    <t>Increase/(decrease) in Accounts Payable</t>
  </si>
  <si>
    <t>Other working capital changes</t>
  </si>
  <si>
    <t>OPERATING CASH FLOW</t>
  </si>
  <si>
    <t>INVESTING ACTIVITIES</t>
  </si>
  <si>
    <t>Capital expenditures (CapEx)</t>
  </si>
  <si>
    <t>Acquisitions &amp; investments, net</t>
  </si>
  <si>
    <t>Other investing activities</t>
  </si>
  <si>
    <t>INVESTING CASH FLOW</t>
  </si>
  <si>
    <t>FINANCING ACTIVITIES</t>
  </si>
  <si>
    <t>Dividends paid</t>
  </si>
  <si>
    <t>Share repurchases</t>
  </si>
  <si>
    <t>Net borrowings / (repayments)</t>
  </si>
  <si>
    <t>Other financing activities</t>
  </si>
  <si>
    <t>FINANCING CASH FLOW</t>
  </si>
  <si>
    <t>Net change in cash</t>
  </si>
  <si>
    <t>Beginning cash balance</t>
  </si>
  <si>
    <t>ENDING CASH BALANCE</t>
  </si>
  <si>
    <t>FREE CASH FLOW (OCF - CapEx)</t>
  </si>
  <si>
    <t>NIKE INC — BALANCE SHEET ($ in millions)</t>
  </si>
  <si>
    <t>ASSETS</t>
  </si>
  <si>
    <t>Current Assets</t>
  </si>
  <si>
    <t>Cash &amp; equivalents</t>
  </si>
  <si>
    <t>Accounts receivable, net</t>
  </si>
  <si>
    <t>Inventories</t>
  </si>
  <si>
    <t>Prepaid expenses &amp; other current assets</t>
  </si>
  <si>
    <t>TOTAL CURRENT ASSETS</t>
  </si>
  <si>
    <t>Non-Current Assets</t>
  </si>
  <si>
    <t>Property, plant &amp; equipment, net</t>
  </si>
  <si>
    <t>Operating lease right-of-use assets</t>
  </si>
  <si>
    <t>Intangible assets &amp; goodwill, net</t>
  </si>
  <si>
    <t>Deferred income taxes &amp; other</t>
  </si>
  <si>
    <t>TOTAL NON-CURRENT ASSETS</t>
  </si>
  <si>
    <t>TOTAL ASSETS</t>
  </si>
  <si>
    <t>LIABILITIES &amp; EQUITY</t>
  </si>
  <si>
    <t>Current Liabilities</t>
  </si>
  <si>
    <t>Accounts payable</t>
  </si>
  <si>
    <t>Accrued liabilities</t>
  </si>
  <si>
    <t>Current portion of long-term debt</t>
  </si>
  <si>
    <t>Current operating lease liabilities</t>
  </si>
  <si>
    <t>TOTAL CURRENT LIABILITIES</t>
  </si>
  <si>
    <t>Non-Current Liabilities</t>
  </si>
  <si>
    <t>Long-term debt</t>
  </si>
  <si>
    <t>Non-current operating lease liabilities</t>
  </si>
  <si>
    <t>Deferred income taxes &amp; other liabilities</t>
  </si>
  <si>
    <t>TOTAL NON-CURRENT LIABILITIES</t>
  </si>
  <si>
    <t>TOTAL LIABILITIES</t>
  </si>
  <si>
    <t>Shareholders' Equity</t>
  </si>
  <si>
    <t>Common stock &amp; additional paid-in capital</t>
  </si>
  <si>
    <t>Retained earnings (accumulated deficit)</t>
  </si>
  <si>
    <t>Accumulated other comprehensive loss</t>
  </si>
  <si>
    <t>TOTAL SHAREHOLDERS' EQUITY</t>
  </si>
  <si>
    <t>TOTAL LIABILITIES &amp; EQUITY</t>
  </si>
  <si>
    <t>BALANCE SHEET CHECK (must = 0)</t>
  </si>
  <si>
    <t>NIKE INC — KPI DASHBOARD</t>
  </si>
  <si>
    <t>KPI</t>
  </si>
  <si>
    <t>Benchmark</t>
  </si>
  <si>
    <t>PROFITABILITY</t>
  </si>
  <si>
    <t>① Net Profit Margin</t>
  </si>
  <si>
    <t>② Gross Margin %</t>
  </si>
  <si>
    <t>③ EBITDA Margin %</t>
  </si>
  <si>
    <t>④ Revenue Growth YoY</t>
  </si>
  <si>
    <t>RETURNS &amp; LEVERAGE</t>
  </si>
  <si>
    <t>⑤ Return on Equity (ROE)</t>
  </si>
  <si>
    <t>⑥ Debt / EBITDA</t>
  </si>
  <si>
    <t>⑦ Current Ratio</t>
  </si>
  <si>
    <t>CASH FLOW</t>
  </si>
  <si>
    <t>⑧ Free Cash Flow ($mm)</t>
  </si>
  <si>
    <t>⑨ FCF Margin %</t>
  </si>
  <si>
    <t>⑩ CapEx as % of Revenue</t>
  </si>
  <si>
    <t>-</t>
  </si>
  <si>
    <t>10-14% target</t>
  </si>
  <si>
    <t>44-46% target</t>
  </si>
  <si>
    <t>15-17% target</t>
  </si>
  <si>
    <t>5-8% target</t>
  </si>
  <si>
    <t>30-50% (buybacks)</t>
  </si>
  <si>
    <t>&lt; 2.0x</t>
  </si>
  <si>
    <t>&gt; 1.5x</t>
  </si>
  <si>
    <t>$4-6bn target</t>
  </si>
  <si>
    <t>8-12% target</t>
  </si>
  <si>
    <t>NIKE INC — MODEL ASSUMPTIONS &amp; DRIVERS</t>
  </si>
  <si>
    <t>Assumption</t>
  </si>
  <si>
    <t>FY2026E</t>
  </si>
  <si>
    <t>FY2027E</t>
  </si>
  <si>
    <t>Source / Note</t>
  </si>
  <si>
    <t>REVENUE ASSUMPTIONS</t>
  </si>
  <si>
    <t>Total Revenue growth YoY</t>
  </si>
  <si>
    <t>North America growth</t>
  </si>
  <si>
    <t>EMEA growth</t>
  </si>
  <si>
    <t>Asia Pacific &amp; LatAm growth</t>
  </si>
  <si>
    <t>Global Brand Divisions growth</t>
  </si>
  <si>
    <t>MARGIN ASSUMPTIONS</t>
  </si>
  <si>
    <t>Gross Margin %</t>
  </si>
  <si>
    <t>SG&amp;A as % of Revenue</t>
  </si>
  <si>
    <t>Demand creation as % of Revenue</t>
  </si>
  <si>
    <t>Operating overhead as % of Revenue</t>
  </si>
  <si>
    <t>Effective Tax Rate</t>
  </si>
  <si>
    <t>BALANCE SHEET ASSUMPTIONS</t>
  </si>
  <si>
    <t>D&amp;A as % of Revenue</t>
  </si>
  <si>
    <t>CapEx as % of Revenue</t>
  </si>
  <si>
    <t>Days Sales Outstanding (AR)</t>
  </si>
  <si>
    <t>Days Inventory Outstanding</t>
  </si>
  <si>
    <t>Days Payable Outstanding</t>
  </si>
  <si>
    <t>CAPITAL ALLOCATION</t>
  </si>
  <si>
    <t>Dividends paid ($mm)</t>
  </si>
  <si>
    <t>Share repurchases ($mm)</t>
  </si>
  <si>
    <t>Net debt repayment ($mm)</t>
  </si>
  <si>
    <t>Analyst consensus / mgmt guidance</t>
  </si>
  <si>
    <t>Historical avg + mgmt guidance</t>
  </si>
  <si>
    <t>Historical trend</t>
  </si>
  <si>
    <t>10-K income tax note</t>
  </si>
  <si>
    <t>CFS historical avg</t>
  </si>
  <si>
    <t>CFS / mgmt guidance</t>
  </si>
  <si>
    <t>Greater China</t>
  </si>
  <si>
    <t>Converse</t>
  </si>
  <si>
    <t>Coporate</t>
  </si>
  <si>
    <t>Other income (expense), net</t>
  </si>
  <si>
    <t>Change in prepaid and others</t>
  </si>
  <si>
    <t>Effect of exchange rates</t>
  </si>
  <si>
    <t>Short term investments</t>
  </si>
  <si>
    <t>Note payable</t>
  </si>
  <si>
    <t>Income Taxes payable</t>
  </si>
  <si>
    <t>3-4% typical (negatif)</t>
  </si>
  <si>
    <t>Segment</t>
  </si>
  <si>
    <t>EMEA</t>
  </si>
  <si>
    <t>APLA</t>
  </si>
  <si>
    <t>Greater China growth</t>
  </si>
  <si>
    <t>Converse growth</t>
  </si>
  <si>
    <t>Metric</t>
  </si>
  <si>
    <t>EBITDA Margin %</t>
  </si>
  <si>
    <t>Net Margin %</t>
  </si>
  <si>
    <t>Free Cash Flow</t>
  </si>
  <si>
    <t>CapEx</t>
  </si>
  <si>
    <t>ROE %</t>
  </si>
  <si>
    <t>Current Ratio</t>
  </si>
  <si>
    <t>Debt/EBITDA</t>
  </si>
  <si>
    <t>Chart : Current Ratio et Debt/EBITDA en multiple (x), ROE en %</t>
  </si>
  <si>
    <t>Net Income ($mm)</t>
  </si>
  <si>
    <t>METHODOLOGY NOTES — ASSUMPTIONS</t>
  </si>
  <si>
    <t>Revenue growth FY2026E/2027E based on analyst consensus and Nike management guidance (May 2025 earnings call)</t>
  </si>
  <si>
    <t>North America: +4%/+6% — recovery from -8% FY2025 decline driven by wholesale channel normalization</t>
  </si>
  <si>
    <t>EMEA: +6%/+8% — resilient market, currency-neutral growth outperforming reported</t>
  </si>
  <si>
    <t>Greater China: +5%/+8% — gradual recovery post FY2025 headwinds, management targeting double-digit CN-neutral growth</t>
  </si>
  <si>
    <t>APLA: +7%/+9% — fastest growing region, emerging markets tailwind</t>
  </si>
  <si>
    <t>Converse: +3%/+5% — conservative assumption given structural decline in lifestyle segment</t>
  </si>
  <si>
    <t>Gross Margin 44.5%/45.0% — recovery toward historical 44-46% range as input costs normalize and DTC mix improve</t>
  </si>
  <si>
    <t>SG&amp;A 31.0%/30.5% — operating leverage from Win Now cost reduction program ($2bn savings target)</t>
  </si>
  <si>
    <t>Effective Tax Rate 18.5% — consistent with Nike 3-year historical average per 10-K income tax note</t>
  </si>
  <si>
    <t>D&amp;A 3.2% of revenue — based on 3-year historical average from CFS; slight increase vs FY2025 (1.7%) reflects normalization</t>
  </si>
  <si>
    <t>CapEx 3.5%/3.4% of revenue — management guidance range; below historical avg reflecting asset-light pivot</t>
  </si>
  <si>
    <t>Dividends: +4-5% annual growth assumption consistent with Nike 10-year dividend CAGR</t>
  </si>
  <si>
    <t>Share repurchases reduced to $2bn/year — conservative given FCF compression in FY2025; management paused buybacks H2 FY2025</t>
  </si>
  <si>
    <t>Net debt repayment: $0 FY2026 / $500mm FY2027 — no known senior note maturities in FY2026 per 10-K debt schedule</t>
  </si>
  <si>
    <t>METHODOLOGY NOTES — INCOME STATEMEN</t>
  </si>
  <si>
    <t>Source: Nike Inc. 10-K FY2023 (filed July 2023), FY2024 (filed July 2024), FY2025 (filed July 2025) — SEC EDGAR (sec.gov)</t>
  </si>
  <si>
    <t>Revenue segments: North America, EMEA, Greater China, APLA, Converse, Corporate per Note 15 Segment Information</t>
  </si>
  <si>
    <t>Corporate revenue: unallocated licensing and other miscellaneous revenues immaterial, kept stable in projections</t>
  </si>
  <si>
    <t>D&amp;A add-back (line 18): sourced from CFS Supplemental Disclosure, not separately reported on face of IS</t>
  </si>
  <si>
    <t>Interest expense net: Nike reported net interest income in FY2023-2025 due to cash position exceeding debt, entered as negative</t>
  </si>
  <si>
    <t>Other income (expense) net: includes FX gains/losses and non-operating items, kept at FY2025 level in projections (conservative)</t>
  </si>
  <si>
    <t>Projected revenues FY2026E/2027E: linked from 01-Assumption, change assumptions there to update all projections</t>
  </si>
  <si>
    <t>Projected margins: Cost of Sales derived from (1 - Gross Margin %) × Revenue; SG&amp;A from Demand creation % + Operating overhead % of Revenue</t>
  </si>
  <si>
    <t>All figures in USD millions unless otherwise noted</t>
  </si>
  <si>
    <t>Nike fiscal year ends May 31 — FY2025 = June 2024 to May 2025</t>
  </si>
  <si>
    <t>METHODOLOGY NOTES — CASH FLOW STATEMENT</t>
  </si>
  <si>
    <t>Source: Nike Inc. 10-K FY2023, FY2024, FY2025 — Consolidated Statements of Cash Flows</t>
  </si>
  <si>
    <t>Net Income: auto-linked from 02-IS — any change in IS projections flows through automatically</t>
  </si>
  <si>
    <t>D&amp;A: sourced from CFS Supplemental Disclosure table (FY2024 10-K Note segment table)</t>
  </si>
  <si>
    <t>Short-term investments: grouped into "Acquisitions &amp; investments, net" — net of purchases, maturities and sales</t>
  </si>
  <si>
    <t>Effect of exchange rates on cash: historical actuals kept at FY2025 level (1mm) for projections — immaterial</t>
  </si>
  <si>
    <t>Working capital changes FY2026E/2027E: kept at FY2025 levels by conservatism — no DSO/DIO/DPO model built at this stage</t>
  </si>
  <si>
    <t>CapEx FY2026E/2027E: linked from 01-Assumption (3.5%/3.4% of projected revenue) — entered as negative per convention</t>
  </si>
  <si>
    <t>Dividends and buybacks: linked from 01-Assumption Capital Allocation section</t>
  </si>
  <si>
    <t>Other financing activities: includes proceeds from stock option exercises (~$466mm/year) — kept stable at FY2025 level</t>
  </si>
  <si>
    <t>FCF defined as Operating Cash Flow + CapEx (CapEx negative by convention)</t>
  </si>
  <si>
    <t>Ending cash balance reconciles to 04-BS Cash &amp; equivalents line</t>
  </si>
  <si>
    <t>FY2025 ending cash: $7,465mm vs 10-K $7,464mm — $1mm rounding difference, immaterial</t>
  </si>
  <si>
    <t>METHODOLOGY NOTES — BALANCE SHEET</t>
  </si>
  <si>
    <t>Source: Nike Inc. 10-K FY2023, FY2024, FY2025 — Consolidated Balance Sheets</t>
  </si>
  <si>
    <t>FY2023 data: sourced from FY2023 10-K (2 years presented) — FY2022 not included in this model</t>
  </si>
  <si>
    <t>Short-term investments: added as separate line after identifying omission vs 10-K totals — $3,234 / $1,722 / $1,687mm</t>
  </si>
  <si>
    <t>Notes payable and Income taxes payable: added to current liabilities after initial BS CHECK discrepancy</t>
  </si>
  <si>
    <t>Common stock stated value $3mm: included in equity — Class A convertible + Class B shares</t>
  </si>
  <si>
    <t>Retained earnings FY2025: negative (-$727mm) reflecting accumulated buybacks exceeding retained profits — normal for Nike given $18bn repurchase program</t>
  </si>
  <si>
    <t>Balance Sheet Check = Total Assets - Total Liabilities &amp; Equity — must equal 0 for all historical years</t>
  </si>
  <si>
    <t>Historical BS CHECK = 0 for FY2023, FY2024, FY2025</t>
  </si>
  <si>
    <t>Projected BS CHECK residual ~$180mm: due to Notes payable and Income taxes payable kept stable in projections — immaterial (0.5% of total assets)</t>
  </si>
  <si>
    <t>PP&amp;E projections: kept stable at FY2025 level — simplification at intermediate model level; full model would use PP&amp;E roll-forward</t>
  </si>
  <si>
    <t>Working capital items (AR, Inventory, Prepaid): kept stable at FY2025 levels — DSO/DIO/DPO model not built at this stage</t>
  </si>
  <si>
    <t>LT Debt FY2027E: reduced by $500mm net repayment per 01-Assumption Capital Allocation</t>
  </si>
  <si>
    <t>Equity projections: Retained Earnings = Prior year + Net Income + Dividends + Buybacks + Other financing</t>
  </si>
  <si>
    <t>METHODOLOGY NOTES — KPI DASHBOARD</t>
  </si>
  <si>
    <t>All KPIs auto-linked from 02-IS, 03-CFS, 04-BS — update source data to refresh dashboard automatically</t>
  </si>
  <si>
    <t>Net Profit Margin = Net Income / Total Revenues</t>
  </si>
  <si>
    <t>Gross Margin % = Gross Profit / Total Revenues</t>
  </si>
  <si>
    <t>EBITDA Margin % = EBITDA / Total Revenues — EBITDA not reported by Nike; calculated as EBIT + D&amp;A add-back</t>
  </si>
  <si>
    <t>Revenue Growth YoY = (Revenue N - Revenue N-1) / Revenue N-1</t>
  </si>
  <si>
    <t>ROE = Net Income / Total Shareholders Equity — elevated by share buybacks reducing equity base</t>
  </si>
  <si>
    <t>Debt/EBITDA = Long-term debt / EBITDA — uses LT debt only, excludes current portion and operating leases</t>
  </si>
  <si>
    <t>Current Ratio = Total Current Assets / Total Current Liabilities — Nike target &gt;1.5x</t>
  </si>
  <si>
    <t>FCF = Operating Cash Flow + CapEx (CapEx negative by convention)</t>
  </si>
  <si>
    <t>FCF Margin % = FCF / Total Revenues</t>
  </si>
  <si>
    <t>CapEx % of Revenue: displayed as negative — reflects cash outflow convention from CFS</t>
  </si>
  <si>
    <t>Key observations: Net Margin compressed from 11.1% (FY2024) to 7.0% (FY2025) driven by revenue decline -9.8% and fixed cost deleverage</t>
  </si>
  <si>
    <t>Debt/EBITDA deteriorated to 1.8x in FY2025 from 1.1x in FY2024 — EBITDA compression, not debt increase</t>
  </si>
  <si>
    <t>FCF declined 50.6% FY2024 to FY2025 — primary driver: Net Income -43.5% and continued SG&amp;A investment</t>
  </si>
  <si>
    <t>Projections FY2026E/2027E reflect recovery scenario — assumptions modifiable in 01-Assumption</t>
  </si>
  <si>
    <t>Benchmark ranges sourced from Nike historical performance and consumer staples/apparel sector comparables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</si>
</sst>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ptos Narrow"/>
      <scheme val="minor"/>
    </font>
    <font>
      <b/>
      <sz val="12"/>
      <color theme="9" tint="-0.249977111117893"/>
      <name val="Aptos Narrow"/>
      <scheme val="minor"/>
    </font>
    <font>
      <sz val="12"/>
      <color rgb="FF0070C0"/>
      <name val="Aptos Narrow"/>
      <family val="2"/>
      <scheme val="minor"/>
    </font>
    <font>
      <b/>
      <sz val="12"/>
      <color theme="3" tint="9.9978637043366805E-2"/>
      <name val="Arial"/>
      <family val="2"/>
    </font>
    <font>
      <b/>
      <sz val="12"/>
      <color theme="3" tint="9.9978637043366805E-2"/>
      <name val="Aptos Narrow"/>
      <family val="2"/>
      <scheme val="minor"/>
    </font>
    <font>
      <sz val="12"/>
      <color theme="9" tint="0.59999389629810485"/>
      <name val="Aptos Narrow"/>
      <family val="2"/>
      <scheme val="minor"/>
    </font>
    <font>
      <b/>
      <sz val="12"/>
      <color theme="9" tint="0.59999389629810485"/>
      <name val="Arial"/>
      <family val="2"/>
    </font>
    <font>
      <sz val="12"/>
      <color theme="0" tint="-0.499984740745262"/>
      <name val="Arial"/>
      <family val="2"/>
    </font>
    <font>
      <b/>
      <sz val="10"/>
      <color theme="3" tint="9.9978637043366805E-2"/>
      <name val="Arial"/>
      <family val="2"/>
    </font>
    <font>
      <sz val="12"/>
      <color theme="9" tint="0.39997558519241921"/>
      <name val="Aptos Narrow"/>
      <family val="2"/>
      <scheme val="minor"/>
    </font>
    <font>
      <i/>
      <sz val="12"/>
      <color theme="0" tint="-0.34998626667073579"/>
      <name val="Arial"/>
      <family val="2"/>
    </font>
    <font>
      <i/>
      <sz val="12"/>
      <color theme="0" tint="-0.3499862666707357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i/>
      <sz val="10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0" fontId="0" fillId="2" borderId="0" xfId="0" applyFill="1"/>
    <xf numFmtId="0" fontId="7" fillId="0" borderId="1" xfId="0" applyFont="1" applyBorder="1"/>
    <xf numFmtId="0" fontId="7" fillId="0" borderId="2" xfId="0" applyFont="1" applyBorder="1"/>
    <xf numFmtId="3" fontId="8" fillId="3" borderId="0" xfId="0" applyNumberFormat="1" applyFont="1" applyFill="1"/>
    <xf numFmtId="0" fontId="10" fillId="4" borderId="0" xfId="0" applyFont="1" applyFill="1"/>
    <xf numFmtId="0" fontId="11" fillId="4" borderId="0" xfId="0" applyFont="1" applyFill="1"/>
    <xf numFmtId="0" fontId="13" fillId="4" borderId="0" xfId="0" applyFont="1" applyFill="1"/>
    <xf numFmtId="164" fontId="12" fillId="0" borderId="0" xfId="0" applyNumberFormat="1" applyFont="1"/>
    <xf numFmtId="165" fontId="12" fillId="0" borderId="0" xfId="0" applyNumberFormat="1" applyFont="1"/>
    <xf numFmtId="0" fontId="14" fillId="0" borderId="0" xfId="0" applyFont="1"/>
    <xf numFmtId="0" fontId="15" fillId="5" borderId="0" xfId="0" applyFont="1" applyFill="1"/>
    <xf numFmtId="0" fontId="10" fillId="5" borderId="0" xfId="0" applyFont="1" applyFill="1"/>
    <xf numFmtId="164" fontId="9" fillId="0" borderId="0" xfId="0" applyNumberFormat="1" applyFont="1"/>
    <xf numFmtId="0" fontId="9" fillId="0" borderId="0" xfId="0" applyFont="1"/>
    <xf numFmtId="3" fontId="9" fillId="0" borderId="0" xfId="0" applyNumberFormat="1" applyFont="1"/>
    <xf numFmtId="0" fontId="0" fillId="5" borderId="0" xfId="0" applyFill="1"/>
    <xf numFmtId="0" fontId="9" fillId="5" borderId="0" xfId="0" applyFont="1" applyFill="1"/>
    <xf numFmtId="164" fontId="16" fillId="0" borderId="0" xfId="0" applyNumberFormat="1" applyFont="1"/>
    <xf numFmtId="3" fontId="16" fillId="0" borderId="0" xfId="0" applyNumberFormat="1" applyFont="1"/>
    <xf numFmtId="0" fontId="17" fillId="0" borderId="0" xfId="0" applyFont="1"/>
    <xf numFmtId="0" fontId="17" fillId="2" borderId="0" xfId="0" applyFont="1" applyFill="1"/>
    <xf numFmtId="0" fontId="18" fillId="0" borderId="0" xfId="0" applyFont="1"/>
    <xf numFmtId="3" fontId="12" fillId="0" borderId="0" xfId="0" applyNumberFormat="1" applyFont="1"/>
    <xf numFmtId="0" fontId="2" fillId="2" borderId="0" xfId="0" applyFont="1" applyFill="1" applyAlignment="1">
      <alignment horizontal="center"/>
    </xf>
    <xf numFmtId="3" fontId="19" fillId="0" borderId="1" xfId="0" applyNumberFormat="1" applyFont="1" applyBorder="1"/>
    <xf numFmtId="164" fontId="19" fillId="0" borderId="1" xfId="0" applyNumberFormat="1" applyFont="1" applyBorder="1"/>
    <xf numFmtId="0" fontId="19" fillId="0" borderId="0" xfId="0" applyFont="1"/>
    <xf numFmtId="3" fontId="19" fillId="0" borderId="0" xfId="0" applyNumberFormat="1" applyFont="1"/>
    <xf numFmtId="164" fontId="19" fillId="0" borderId="0" xfId="0" applyNumberFormat="1" applyFont="1"/>
    <xf numFmtId="3" fontId="19" fillId="0" borderId="2" xfId="0" applyNumberFormat="1" applyFont="1" applyBorder="1"/>
    <xf numFmtId="164" fontId="19" fillId="0" borderId="2" xfId="0" applyNumberFormat="1" applyFont="1" applyBorder="1"/>
    <xf numFmtId="3" fontId="7" fillId="0" borderId="1" xfId="0" applyNumberFormat="1" applyFont="1" applyBorder="1"/>
    <xf numFmtId="3" fontId="7" fillId="0" borderId="2" xfId="0" applyNumberFormat="1" applyFont="1" applyBorder="1"/>
    <xf numFmtId="0" fontId="1" fillId="0" borderId="0" xfId="0" applyFont="1" applyBorder="1"/>
    <xf numFmtId="3" fontId="20" fillId="0" borderId="0" xfId="0" applyNumberFormat="1" applyFont="1" applyBorder="1"/>
    <xf numFmtId="164" fontId="7" fillId="0" borderId="1" xfId="0" applyNumberFormat="1" applyFont="1" applyBorder="1"/>
    <xf numFmtId="164" fontId="7" fillId="0" borderId="2" xfId="0" applyNumberFormat="1" applyFont="1" applyBorder="1"/>
    <xf numFmtId="3" fontId="7" fillId="0" borderId="3" xfId="0" applyNumberFormat="1" applyFont="1" applyBorder="1"/>
    <xf numFmtId="0" fontId="3" fillId="0" borderId="3" xfId="0" applyFont="1" applyBorder="1"/>
    <xf numFmtId="164" fontId="11" fillId="4" borderId="0" xfId="0" applyNumberFormat="1" applyFont="1" applyFill="1"/>
    <xf numFmtId="0" fontId="16" fillId="0" borderId="0" xfId="0" applyFont="1"/>
    <xf numFmtId="3" fontId="7" fillId="0" borderId="0" xfId="0" applyNumberFormat="1" applyFont="1"/>
    <xf numFmtId="3" fontId="20" fillId="0" borderId="0" xfId="0" applyNumberFormat="1" applyFont="1"/>
    <xf numFmtId="165" fontId="0" fillId="0" borderId="0" xfId="0" applyNumberFormat="1"/>
    <xf numFmtId="0" fontId="21" fillId="0" borderId="0" xfId="0" applyFont="1"/>
    <xf numFmtId="0" fontId="22" fillId="0" borderId="0" xfId="0" applyFont="1"/>
    <xf numFmtId="0" fontId="2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Nike Revenue by Segment (FY2023-2025, $mm)</a:t>
            </a:r>
            <a:endParaRPr lang="en-US" b="1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'05-DASH'!$B$22</c:f>
              <c:strCache>
                <c:ptCount val="1"/>
                <c:pt idx="0">
                  <c:v>FY2023A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'05-DASH'!$A$23:$A$27</c:f>
              <c:strCache>
                <c:ptCount val="5"/>
                <c:pt idx="0">
                  <c:v>North America</c:v>
                </c:pt>
                <c:pt idx="1">
                  <c:v>EMEA</c:v>
                </c:pt>
                <c:pt idx="2">
                  <c:v>APLA</c:v>
                </c:pt>
                <c:pt idx="3">
                  <c:v>Greater China</c:v>
                </c:pt>
                <c:pt idx="4">
                  <c:v>Converse</c:v>
                </c:pt>
              </c:strCache>
            </c:strRef>
          </c:cat>
          <c:val>
            <c:numRef>
              <c:f>'05-DASH'!$B$23:$B$27</c:f>
              <c:numCache>
                <c:formatCode>#,##0</c:formatCode>
                <c:ptCount val="5"/>
                <c:pt idx="0">
                  <c:v>21608</c:v>
                </c:pt>
                <c:pt idx="1">
                  <c:v>13418</c:v>
                </c:pt>
                <c:pt idx="2">
                  <c:v>6431</c:v>
                </c:pt>
                <c:pt idx="3">
                  <c:v>7248</c:v>
                </c:pt>
                <c:pt idx="4">
                  <c:v>2427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F-D445-B335-4B6CD893585E}"/>
            </c:ext>
          </c:extLst>
        </c:ser>
        <c:ser>
          <c:idx val="1"/>
          <c:order val="1"/>
          <c:tx>
            <c:strRef>
              <c:f>'05-DASH'!$C$22</c:f>
              <c:strCache>
                <c:ptCount val="1"/>
                <c:pt idx="0">
                  <c:v>FY2024A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'05-DASH'!$A$23:$A$27</c:f>
              <c:strCache>
                <c:ptCount val="5"/>
                <c:pt idx="0">
                  <c:v>North America</c:v>
                </c:pt>
                <c:pt idx="1">
                  <c:v>EMEA</c:v>
                </c:pt>
                <c:pt idx="2">
                  <c:v>APLA</c:v>
                </c:pt>
                <c:pt idx="3">
                  <c:v>Greater China</c:v>
                </c:pt>
                <c:pt idx="4">
                  <c:v>Converse</c:v>
                </c:pt>
              </c:strCache>
            </c:strRef>
          </c:cat>
          <c:val>
            <c:numRef>
              <c:f>'05-DASH'!$C$23:$C$27</c:f>
              <c:numCache>
                <c:formatCode>#,##0</c:formatCode>
                <c:ptCount val="5"/>
                <c:pt idx="0">
                  <c:v>21396</c:v>
                </c:pt>
                <c:pt idx="1">
                  <c:v>13607</c:v>
                </c:pt>
                <c:pt idx="2">
                  <c:v>6729</c:v>
                </c:pt>
                <c:pt idx="3">
                  <c:v>7545</c:v>
                </c:pt>
                <c:pt idx="4">
                  <c:v>2082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1F-D445-B335-4B6CD893585E}"/>
            </c:ext>
          </c:extLst>
        </c:ser>
        <c:ser>
          <c:idx val="2"/>
          <c:order val="2"/>
          <c:tx>
            <c:strRef>
              <c:f>'05-DASH'!$D$22</c:f>
              <c:strCache>
                <c:ptCount val="1"/>
                <c:pt idx="0">
                  <c:v>FY2025A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'05-DASH'!$A$23:$A$27</c:f>
              <c:strCache>
                <c:ptCount val="5"/>
                <c:pt idx="0">
                  <c:v>North America</c:v>
                </c:pt>
                <c:pt idx="1">
                  <c:v>EMEA</c:v>
                </c:pt>
                <c:pt idx="2">
                  <c:v>APLA</c:v>
                </c:pt>
                <c:pt idx="3">
                  <c:v>Greater China</c:v>
                </c:pt>
                <c:pt idx="4">
                  <c:v>Converse</c:v>
                </c:pt>
              </c:strCache>
            </c:strRef>
          </c:cat>
          <c:val>
            <c:numRef>
              <c:f>'05-DASH'!$D$23:$D$27</c:f>
              <c:numCache>
                <c:formatCode>#,##0</c:formatCode>
                <c:ptCount val="5"/>
                <c:pt idx="0">
                  <c:v>19572</c:v>
                </c:pt>
                <c:pt idx="1">
                  <c:v>12257</c:v>
                </c:pt>
                <c:pt idx="2">
                  <c:v>6251</c:v>
                </c:pt>
                <c:pt idx="3">
                  <c:v>6586</c:v>
                </c:pt>
                <c:pt idx="4">
                  <c:v>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1F-D445-B335-4B6CD893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741952"/>
        <c:axId val="619781440"/>
      </c:barChart>
      <c:catAx>
        <c:axId val="6197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81440"/>
        <c:crosses val="autoZero"/>
        <c:auto val="1"/>
        <c:lblAlgn val="ctr"/>
        <c:lblOffset val="100"/>
        <c:noMultiLvlLbl val="0"/>
      </c:catAx>
      <c:valAx>
        <c:axId val="61978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4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1">
            <a:lumMod val="0"/>
            <a:lumOff val="100000"/>
          </a:schemeClr>
        </a:gs>
        <a:gs pos="43000">
          <a:schemeClr val="accent1">
            <a:lumMod val="0"/>
            <a:lumOff val="100000"/>
          </a:schemeClr>
        </a:gs>
        <a:gs pos="100000">
          <a:schemeClr val="accent1">
            <a:lumMod val="100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Nike Margin Trends (FY2023-2025)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'05-DASH'!$A$31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'05-DASH'!$B$30:$D$30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'05-DASH'!$B$31:$D$31</c:f>
              <c:numCache>
                <c:formatCode>0.0%</c:formatCode>
                <c:ptCount val="3"/>
                <c:pt idx="0">
                  <c:v>0.43524610969014194</c:v>
                </c:pt>
                <c:pt idx="1">
                  <c:v>0.44560180678322497</c:v>
                </c:pt>
                <c:pt idx="2">
                  <c:v>0.42734673605562634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1C-5945-9BAA-6F0C90327C05}"/>
            </c:ext>
          </c:extLst>
        </c:ser>
        <c:ser>
          <c:idx val="1"/>
          <c:order val="1"/>
          <c:tx>
            <c:strRef>
              <c:f>'05-DASH'!$A$32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'05-DASH'!$B$30:$D$30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'05-DASH'!$B$32:$D$32</c:f>
              <c:numCache>
                <c:formatCode>0.0%</c:formatCode>
                <c:ptCount val="3"/>
                <c:pt idx="0">
                  <c:v>0.12921490911220884</c:v>
                </c:pt>
                <c:pt idx="1">
                  <c:v>0.13837077995405164</c:v>
                </c:pt>
                <c:pt idx="2">
                  <c:v>9.667667192122481E-2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1C-5945-9BAA-6F0C90327C05}"/>
            </c:ext>
          </c:extLst>
        </c:ser>
        <c:ser>
          <c:idx val="2"/>
          <c:order val="2"/>
          <c:tx>
            <c:strRef>
              <c:f>'05-DASH'!$A$33</c:f>
              <c:strCache>
                <c:ptCount val="1"/>
                <c:pt idx="0">
                  <c:v>Net Margin %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'05-DASH'!$B$30:$D$30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'05-DASH'!$B$33:$D$33</c:f>
              <c:numCache>
                <c:formatCode>0.0%</c:formatCode>
                <c:ptCount val="3"/>
                <c:pt idx="0">
                  <c:v>9.8990569537458259E-2</c:v>
                </c:pt>
                <c:pt idx="1">
                  <c:v>0.11097698687745804</c:v>
                </c:pt>
                <c:pt idx="2">
                  <c:v>6.9511326092120324E-2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1C-5945-9BAA-6F0C90327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925296"/>
        <c:axId val="1666927008"/>
      </c:lineChart>
      <c:catAx>
        <c:axId val="166692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7008"/>
        <c:crosses val="autoZero"/>
        <c:auto val="1"/>
        <c:lblAlgn val="ctr"/>
        <c:lblOffset val="100"/>
        <c:noMultiLvlLbl val="0"/>
      </c:catAx>
      <c:valAx>
        <c:axId val="166692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1">
            <a:lumMod val="0"/>
            <a:lumOff val="100000"/>
          </a:schemeClr>
        </a:gs>
        <a:gs pos="47000">
          <a:schemeClr val="accent1">
            <a:lumMod val="0"/>
            <a:lumOff val="100000"/>
          </a:schemeClr>
        </a:gs>
        <a:gs pos="100000">
          <a:schemeClr val="accent1">
            <a:lumMod val="100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Nike FCF vs CapEx (FY2023-2025, 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'05-DASH'!$A$37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'05-DASH'!$B$36:$D$36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'05-DASH'!$B$37:$D$37</c:f>
              <c:numCache>
                <c:formatCode>#,##0</c:formatCode>
                <c:ptCount val="3"/>
                <c:pt idx="0">
                  <c:v>4872</c:v>
                </c:pt>
                <c:pt idx="1">
                  <c:v>6617</c:v>
                </c:pt>
                <c:pt idx="2">
                  <c:v>3268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3-7246-B8EF-0C2BF9F8684B}"/>
            </c:ext>
          </c:extLst>
        </c:ser>
        <c:ser>
          <c:idx val="1"/>
          <c:order val="1"/>
          <c:tx>
            <c:strRef>
              <c:f>'05-DASH'!$A$38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'05-DASH'!$B$36:$D$36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'05-DASH'!$B$38:$D$38</c:f>
              <c:numCache>
                <c:formatCode>General</c:formatCode>
                <c:ptCount val="3"/>
                <c:pt idx="0">
                  <c:v>-969</c:v>
                </c:pt>
                <c:pt idx="1">
                  <c:v>-812</c:v>
                </c:pt>
                <c:pt idx="2">
                  <c:v>-430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3-7246-B8EF-0C2BF9F86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107472"/>
        <c:axId val="1667109184"/>
      </c:barChart>
      <c:catAx>
        <c:axId val="166710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109184"/>
        <c:crosses val="autoZero"/>
        <c:auto val="1"/>
        <c:lblAlgn val="ctr"/>
        <c:lblOffset val="100"/>
        <c:noMultiLvlLbl val="0"/>
      </c:catAx>
      <c:valAx>
        <c:axId val="166710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10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0"/>
            <a:lumOff val="100000"/>
          </a:schemeClr>
        </a:gs>
        <a:gs pos="47000">
          <a:schemeClr val="accent1">
            <a:lumMod val="0"/>
            <a:lumOff val="100000"/>
          </a:schemeClr>
        </a:gs>
        <a:gs pos="100000">
          <a:schemeClr val="accent1">
            <a:lumMod val="100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Nike Key Ratios (FY2023-2025)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'05-DASH'!$A$42</c:f>
              <c:strCache>
                <c:ptCount val="1"/>
                <c:pt idx="0">
                  <c:v>ROE %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'05-DASH'!$B$41:$D$41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'05-DASH'!$B$42:$D$42</c:f>
              <c:numCache>
                <c:formatCode>0.0%</c:formatCode>
                <c:ptCount val="3"/>
                <c:pt idx="0">
                  <c:v>0.36203941730934019</c:v>
                </c:pt>
                <c:pt idx="1">
                  <c:v>0.39501039501039503</c:v>
                </c:pt>
                <c:pt idx="2">
                  <c:v>0.24362370392794974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C-B64E-99EC-0DE65FA490BA}"/>
            </c:ext>
          </c:extLst>
        </c:ser>
        <c:ser>
          <c:idx val="1"/>
          <c:order val="1"/>
          <c:tx>
            <c:strRef>
              <c:f>'05-DASH'!$A$43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'05-DASH'!$B$41:$D$41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'05-DASH'!$B$43:$D$43</c:f>
              <c:numCache>
                <c:formatCode>0.0</c:formatCode>
                <c:ptCount val="3"/>
                <c:pt idx="0">
                  <c:v>2.7227744165946413</c:v>
                </c:pt>
                <c:pt idx="1">
                  <c:v>2.3961106391012934</c:v>
                </c:pt>
                <c:pt idx="2">
                  <c:v>2.2110543251940187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9C-B64E-99EC-0DE65FA490BA}"/>
            </c:ext>
          </c:extLst>
        </c:ser>
        <c:ser>
          <c:idx val="2"/>
          <c:order val="2"/>
          <c:tx>
            <c:strRef>
              <c:f>'05-DASH'!$A$44</c:f>
              <c:strCache>
                <c:ptCount val="1"/>
                <c:pt idx="0">
                  <c:v>Debt/EBITDA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'05-DASH'!$B$41:$D$41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'05-DASH'!$B$44:$D$44</c:f>
              <c:numCache>
                <c:formatCode>0.0</c:formatCode>
                <c:ptCount val="3"/>
                <c:pt idx="0">
                  <c:v>1.3488969477183439</c:v>
                </c:pt>
                <c:pt idx="1">
                  <c:v>1.1120022513015337</c:v>
                </c:pt>
                <c:pt idx="2">
                  <c:v>1.7781996872905963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9C-B64E-99EC-0DE65FA49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6815264"/>
        <c:axId val="1667048432"/>
      </c:barChart>
      <c:catAx>
        <c:axId val="1666815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048432"/>
        <c:crosses val="autoZero"/>
        <c:auto val="1"/>
        <c:lblAlgn val="ctr"/>
        <c:lblOffset val="100"/>
        <c:noMultiLvlLbl val="0"/>
      </c:catAx>
      <c:valAx>
        <c:axId val="166704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81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0"/>
            <a:lumOff val="100000"/>
          </a:schemeClr>
        </a:gs>
        <a:gs pos="47000">
          <a:schemeClr val="accent1">
            <a:lumMod val="0"/>
            <a:lumOff val="100000"/>
          </a:schemeClr>
        </a:gs>
        <a:gs pos="100000">
          <a:schemeClr val="accent1">
            <a:lumMod val="100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Nike Net Income Trend (FY2023-2027E, $mm)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'05-DASH'!$A$49</c:f>
              <c:strCache>
                <c:ptCount val="1"/>
                <c:pt idx="0">
                  <c:v>Net Income ($mm)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'05-DASH'!$B$48:$F$48</c:f>
              <c:strCache>
                <c:ptCount val="5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</c:strCache>
            </c:strRef>
          </c:cat>
          <c:val>
            <c:numRef>
              <c:f>'05-DASH'!$B$49:$F$49</c:f>
              <c:numCache>
                <c:formatCode>#,##0</c:formatCode>
                <c:ptCount val="5"/>
                <c:pt idx="0">
                  <c:v>5070</c:v>
                </c:pt>
                <c:pt idx="1">
                  <c:v>5700</c:v>
                </c:pt>
                <c:pt idx="2">
                  <c:v>3219</c:v>
                </c:pt>
                <c:pt idx="3">
                  <c:v>5324.6401112500034</c:v>
                </c:pt>
                <c:pt idx="4">
                  <c:v>6123.1629852624983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C0-2A43-A951-B1E8086DE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1907503"/>
        <c:axId val="1761736943"/>
      </c:lineChart>
      <c:catAx>
        <c:axId val="17619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36943"/>
        <c:crosses val="autoZero"/>
        <c:auto val="1"/>
        <c:lblAlgn val="ctr"/>
        <c:lblOffset val="100"/>
        <c:noMultiLvlLbl val="0"/>
      </c:catAx>
      <c:valAx>
        <c:axId val="176173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0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0"/>
            <a:lumOff val="100000"/>
          </a:schemeClr>
        </a:gs>
        <a:gs pos="47000">
          <a:schemeClr val="accent1">
            <a:lumMod val="0"/>
            <a:lumOff val="100000"/>
          </a:schemeClr>
        </a:gs>
        <a:gs pos="100000">
          <a:schemeClr val="accent1">
            <a:lumMod val="100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747614</xdr:colOff>
      <xdr:row>4</xdr:row>
      <xdr:rowOff>79090</xdr:rowOff>
    </xdr:from>
    <xdr:to>
      <xdr:col>13</xdr:col>
      <xdr:colOff>414093</xdr:colOff>
      <xdr:row>18</xdr:row>
      <xdr:rowOff>18331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A20C3E-E5A6-E710-8A98-47484CF1C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413188</xdr:colOff>
      <xdr:row>4</xdr:row>
      <xdr:rowOff>79771</xdr:rowOff>
    </xdr:from>
    <xdr:to>
      <xdr:col>19</xdr:col>
      <xdr:colOff>149411</xdr:colOff>
      <xdr:row>17</xdr:row>
      <xdr:rowOff>181372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81F49F-82CE-346E-3E0B-4A75701D4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737580</xdr:colOff>
      <xdr:row>18</xdr:row>
      <xdr:rowOff>10942</xdr:rowOff>
    </xdr:from>
    <xdr:to>
      <xdr:col>13</xdr:col>
      <xdr:colOff>390197</xdr:colOff>
      <xdr:row>31</xdr:row>
      <xdr:rowOff>84941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388CC0-4668-2F82-C3A6-179E375FA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412426</xdr:colOff>
      <xdr:row>18</xdr:row>
      <xdr:rowOff>10490</xdr:rowOff>
    </xdr:from>
    <xdr:to>
      <xdr:col>19</xdr:col>
      <xdr:colOff>155972</xdr:colOff>
      <xdr:row>31</xdr:row>
      <xdr:rowOff>84489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61F4AC-C818-DCFF-BEAC-AEA32A77F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744604</xdr:colOff>
      <xdr:row>31</xdr:row>
      <xdr:rowOff>94665</xdr:rowOff>
    </xdr:from>
    <xdr:to>
      <xdr:col>19</xdr:col>
      <xdr:colOff>169570</xdr:colOff>
      <xdr:row>48</xdr:row>
      <xdr:rowOff>49210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EDB22B7-907C-C917-105D-133BA3559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5584-B640-B84F-B71F-625B6E34342E}">
  <dimension ref="A1:G47"/>
  <sheetViews>
    <sheetView zoomScale="75" workbookViewId="0">
      <selection activeCell="J41" sqref="J41"/>
    </sheetView>
  </sheetViews>
  <sheetFormatPr baseColWidth="10" defaultRowHeight="16" x14ac:dyDescent="0.2"/>
  <cols>
    <col min="1" max="1" width="39" customWidth="1"/>
    <col min="2" max="2" width="14.83203125" customWidth="1"/>
    <col min="3" max="6" width="14.6640625" customWidth="1"/>
    <col min="7" max="7" width="32.83203125" customWidth="1"/>
  </cols>
  <sheetData>
    <row r="1" spans="1:7" ht="18" x14ac:dyDescent="0.2">
      <c r="A1" s="34" t="s">
        <v>114</v>
      </c>
      <c r="B1" s="34"/>
      <c r="C1" s="34"/>
      <c r="D1" s="34"/>
      <c r="E1" s="34"/>
      <c r="F1" s="34"/>
      <c r="G1" s="34"/>
    </row>
    <row r="3" spans="1:7" x14ac:dyDescent="0.2">
      <c r="A3" s="6" t="s">
        <v>115</v>
      </c>
      <c r="B3" s="6" t="s">
        <v>2</v>
      </c>
      <c r="C3" s="6" t="s">
        <v>3</v>
      </c>
      <c r="D3" s="6" t="s">
        <v>4</v>
      </c>
      <c r="E3" s="22" t="s">
        <v>116</v>
      </c>
      <c r="F3" s="22" t="s">
        <v>117</v>
      </c>
      <c r="G3" s="4" t="s">
        <v>118</v>
      </c>
    </row>
    <row r="4" spans="1:7" x14ac:dyDescent="0.2">
      <c r="A4" s="4" t="s">
        <v>119</v>
      </c>
      <c r="B4" s="11"/>
      <c r="C4" s="11"/>
      <c r="D4" s="11"/>
      <c r="E4" s="26"/>
      <c r="F4" s="26"/>
      <c r="G4" s="11"/>
    </row>
    <row r="5" spans="1:7" x14ac:dyDescent="0.2">
      <c r="A5" s="3" t="s">
        <v>120</v>
      </c>
      <c r="B5" s="28" t="s">
        <v>104</v>
      </c>
      <c r="C5" s="28">
        <f>IFERROR(('02-IS'!C11-'02-IS'!B11)/'02-IS'!B11,"-")</f>
        <v>2.8310912392369722E-3</v>
      </c>
      <c r="D5" s="28">
        <f>IFERROR(('02-IS'!D11-'02-IS'!C11)/'02-IS'!C11,"-")</f>
        <v>-9.8380125384525521E-2</v>
      </c>
      <c r="E5" s="23">
        <v>0.05</v>
      </c>
      <c r="F5" s="23">
        <v>7.0000000000000007E-2</v>
      </c>
      <c r="G5" s="30" t="s">
        <v>141</v>
      </c>
    </row>
    <row r="6" spans="1:7" x14ac:dyDescent="0.2">
      <c r="A6" s="3" t="s">
        <v>121</v>
      </c>
      <c r="B6" s="2"/>
      <c r="C6" s="2"/>
      <c r="D6" s="2"/>
      <c r="E6" s="23">
        <v>0.04</v>
      </c>
      <c r="F6" s="23">
        <v>0.06</v>
      </c>
      <c r="G6" s="30"/>
    </row>
    <row r="7" spans="1:7" x14ac:dyDescent="0.2">
      <c r="A7" s="3" t="s">
        <v>122</v>
      </c>
      <c r="B7" s="2"/>
      <c r="C7" s="2"/>
      <c r="D7" s="2"/>
      <c r="E7" s="23">
        <v>0.06</v>
      </c>
      <c r="F7" s="23">
        <v>0.08</v>
      </c>
      <c r="G7" s="30"/>
    </row>
    <row r="8" spans="1:7" x14ac:dyDescent="0.2">
      <c r="A8" s="3" t="s">
        <v>123</v>
      </c>
      <c r="B8" s="2"/>
      <c r="C8" s="2"/>
      <c r="D8" s="2"/>
      <c r="E8" s="23">
        <v>7.0000000000000007E-2</v>
      </c>
      <c r="F8" s="23">
        <v>0.09</v>
      </c>
      <c r="G8" s="30"/>
    </row>
    <row r="9" spans="1:7" x14ac:dyDescent="0.2">
      <c r="A9" s="3" t="s">
        <v>160</v>
      </c>
      <c r="B9" s="2"/>
      <c r="C9" s="2"/>
      <c r="D9" s="2"/>
      <c r="E9" s="23">
        <v>0.05</v>
      </c>
      <c r="F9" s="23">
        <v>0.08</v>
      </c>
      <c r="G9" s="30"/>
    </row>
    <row r="10" spans="1:7" x14ac:dyDescent="0.2">
      <c r="A10" s="3" t="s">
        <v>161</v>
      </c>
      <c r="B10" s="2"/>
      <c r="C10" s="2"/>
      <c r="D10" s="2"/>
      <c r="E10" s="23">
        <v>0.03</v>
      </c>
      <c r="F10" s="23">
        <v>0.05</v>
      </c>
      <c r="G10" s="30"/>
    </row>
    <row r="11" spans="1:7" x14ac:dyDescent="0.2">
      <c r="A11" s="3" t="s">
        <v>124</v>
      </c>
      <c r="B11" s="2"/>
      <c r="C11" s="2"/>
      <c r="D11" s="2"/>
      <c r="E11" s="23">
        <v>0.03</v>
      </c>
      <c r="F11" s="23">
        <v>0.05</v>
      </c>
      <c r="G11" s="30"/>
    </row>
    <row r="12" spans="1:7" x14ac:dyDescent="0.2">
      <c r="A12" s="3"/>
      <c r="E12" s="24"/>
      <c r="F12" s="24"/>
      <c r="G12" s="30"/>
    </row>
    <row r="13" spans="1:7" x14ac:dyDescent="0.2">
      <c r="A13" s="4" t="s">
        <v>125</v>
      </c>
      <c r="B13" s="11"/>
      <c r="C13" s="11"/>
      <c r="D13" s="11"/>
      <c r="E13" s="27"/>
      <c r="F13" s="27"/>
      <c r="G13" s="31"/>
    </row>
    <row r="14" spans="1:7" x14ac:dyDescent="0.2">
      <c r="A14" s="3" t="s">
        <v>126</v>
      </c>
      <c r="B14" s="28">
        <f>IFERROR('02-IS'!B13/'02-IS'!B11,"-")</f>
        <v>0.43524610969014194</v>
      </c>
      <c r="C14" s="28">
        <f>IFERROR('02-IS'!C13/'02-IS'!C11,"-")</f>
        <v>0.44560180678322497</v>
      </c>
      <c r="D14" s="28">
        <f>IFERROR('02-IS'!D13/'02-IS'!D11,"-")</f>
        <v>0.42734673605562634</v>
      </c>
      <c r="E14" s="23">
        <v>0.44500000000000001</v>
      </c>
      <c r="F14" s="23">
        <v>0.45</v>
      </c>
      <c r="G14" s="30" t="s">
        <v>142</v>
      </c>
    </row>
    <row r="15" spans="1:7" x14ac:dyDescent="0.2">
      <c r="A15" s="3" t="s">
        <v>127</v>
      </c>
      <c r="B15" s="28">
        <f>IFERROR('02-IS'!B16/'02-IS'!B11,"-")</f>
        <v>0.31975711189644063</v>
      </c>
      <c r="C15" s="28">
        <f>IFERROR('02-IS'!C16/'02-IS'!C11,"-")</f>
        <v>0.32272886569837622</v>
      </c>
      <c r="D15" s="28">
        <f>IFERROR('02-IS'!D16/'02-IS'!D11,"-")</f>
        <v>0.34740547193850008</v>
      </c>
      <c r="E15" s="23">
        <v>0.31</v>
      </c>
      <c r="F15" s="23">
        <v>0.30499999999999999</v>
      </c>
      <c r="G15" s="30" t="s">
        <v>143</v>
      </c>
    </row>
    <row r="16" spans="1:7" x14ac:dyDescent="0.2">
      <c r="A16" s="3" t="s">
        <v>128</v>
      </c>
      <c r="B16" s="28">
        <f>IFERROR('02-IS'!B14/'02-IS'!B11,"-")</f>
        <v>7.9270554698635212E-2</v>
      </c>
      <c r="C16" s="28">
        <f>IFERROR('02-IS'!C14/'02-IS'!C11,"-")</f>
        <v>8.3427436626299603E-2</v>
      </c>
      <c r="D16" s="51">
        <f>IFERROR('02-IS'!D14/'02-IS'!D11,"-")</f>
        <v>0.10125461573344274</v>
      </c>
      <c r="E16" s="23">
        <v>8.3000000000000004E-2</v>
      </c>
      <c r="F16" s="23">
        <v>8.2000000000000003E-2</v>
      </c>
      <c r="G16" s="30"/>
    </row>
    <row r="17" spans="1:7" x14ac:dyDescent="0.2">
      <c r="A17" s="3" t="s">
        <v>129</v>
      </c>
      <c r="B17" s="28">
        <f>IFERROR('02-IS'!B15/'02-IS'!B11,"-")</f>
        <v>0.24048655719780543</v>
      </c>
      <c r="C17" s="28">
        <f>IFERROR('02-IS'!C15/'02-IS'!C11,"-")</f>
        <v>0.23930142907207663</v>
      </c>
      <c r="D17" s="28">
        <f>IFERROR('02-IS'!D15/'02-IS'!D11,"-")</f>
        <v>0.24615085620505733</v>
      </c>
      <c r="E17" s="23">
        <v>0.22700000000000001</v>
      </c>
      <c r="F17" s="23">
        <v>0.223</v>
      </c>
      <c r="G17" s="30"/>
    </row>
    <row r="18" spans="1:7" x14ac:dyDescent="0.2">
      <c r="A18" s="3" t="s">
        <v>130</v>
      </c>
      <c r="B18" s="28">
        <f>IFERROR('02-IS'!B23/'02-IS'!B22,"-")</f>
        <v>0.18238993710691823</v>
      </c>
      <c r="C18" s="28">
        <f>IFERROR('02-IS'!C23/'02-IS'!C22,"-")</f>
        <v>0.14925373134328357</v>
      </c>
      <c r="D18" s="28">
        <f>IFERROR('02-IS'!D23/'02-IS'!D22,"-")</f>
        <v>0.17142857142857143</v>
      </c>
      <c r="E18" s="23">
        <v>0.185</v>
      </c>
      <c r="F18" s="23">
        <v>0.185</v>
      </c>
      <c r="G18" s="30" t="s">
        <v>144</v>
      </c>
    </row>
    <row r="19" spans="1:7" x14ac:dyDescent="0.2">
      <c r="A19" s="3"/>
      <c r="E19" s="24"/>
      <c r="F19" s="24"/>
      <c r="G19" s="30"/>
    </row>
    <row r="20" spans="1:7" x14ac:dyDescent="0.2">
      <c r="A20" s="4" t="s">
        <v>131</v>
      </c>
      <c r="B20" s="11"/>
      <c r="C20" s="11"/>
      <c r="D20" s="11"/>
      <c r="E20" s="27"/>
      <c r="F20" s="27"/>
      <c r="G20" s="31"/>
    </row>
    <row r="21" spans="1:7" x14ac:dyDescent="0.2">
      <c r="A21" s="3" t="s">
        <v>132</v>
      </c>
      <c r="B21" s="28">
        <f>IFERROR(ABS('03-CFS'!B6)/'02-IS'!B11,"-")</f>
        <v>1.3725911318507526E-2</v>
      </c>
      <c r="C21" s="28">
        <f>IFERROR(ABS('03-CFS'!C6)/'02-IS'!C11,"-")</f>
        <v>1.5497838869202913E-2</v>
      </c>
      <c r="D21" s="28">
        <f>IFERROR(ABS('03-CFS'!D6)/'02-IS'!D11,"-")</f>
        <v>1.6735407804098556E-2</v>
      </c>
      <c r="E21" s="23">
        <v>3.2000000000000001E-2</v>
      </c>
      <c r="F21" s="23">
        <v>3.2000000000000001E-2</v>
      </c>
      <c r="G21" s="30" t="s">
        <v>145</v>
      </c>
    </row>
    <row r="22" spans="1:7" x14ac:dyDescent="0.2">
      <c r="A22" s="3" t="s">
        <v>133</v>
      </c>
      <c r="B22" s="28">
        <f>IFERROR(ABS('03-CFS'!B17)/'02-IS'!B11,"-")</f>
        <v>1.8919499384969833E-2</v>
      </c>
      <c r="C22" s="28">
        <f>IFERROR(ABS('03-CFS'!C17)/'02-IS'!C11,"-")</f>
        <v>1.5809353218332621E-2</v>
      </c>
      <c r="D22" s="28">
        <f>IFERROR(ABS('03-CFS'!D17)/'02-IS'!D11,"-")</f>
        <v>9.2854520719514565E-3</v>
      </c>
      <c r="E22" s="23">
        <v>3.5000000000000003E-2</v>
      </c>
      <c r="F22" s="23">
        <v>3.4000000000000002E-2</v>
      </c>
      <c r="G22" s="30" t="s">
        <v>146</v>
      </c>
    </row>
    <row r="23" spans="1:7" x14ac:dyDescent="0.2">
      <c r="A23" s="3" t="s">
        <v>134</v>
      </c>
      <c r="B23" s="1"/>
      <c r="C23" s="1"/>
      <c r="D23" s="1"/>
      <c r="E23" s="25"/>
      <c r="F23" s="25"/>
      <c r="G23" s="32"/>
    </row>
    <row r="24" spans="1:7" x14ac:dyDescent="0.2">
      <c r="A24" s="3" t="s">
        <v>135</v>
      </c>
      <c r="B24" s="1"/>
      <c r="C24" s="1"/>
      <c r="D24" s="1"/>
      <c r="E24" s="25"/>
      <c r="F24" s="25"/>
      <c r="G24" s="32"/>
    </row>
    <row r="25" spans="1:7" x14ac:dyDescent="0.2">
      <c r="A25" s="3" t="s">
        <v>136</v>
      </c>
      <c r="B25" s="1"/>
      <c r="C25" s="1"/>
      <c r="D25" s="1"/>
      <c r="E25" s="25"/>
      <c r="F25" s="25"/>
      <c r="G25" s="32"/>
    </row>
    <row r="26" spans="1:7" x14ac:dyDescent="0.2">
      <c r="A26" s="3"/>
      <c r="E26" s="24"/>
      <c r="F26" s="24"/>
      <c r="G26" s="32"/>
    </row>
    <row r="27" spans="1:7" x14ac:dyDescent="0.2">
      <c r="A27" s="4" t="s">
        <v>137</v>
      </c>
      <c r="B27" s="11"/>
      <c r="C27" s="11"/>
      <c r="D27" s="11"/>
      <c r="E27" s="27"/>
      <c r="F27" s="27"/>
      <c r="G27" s="11"/>
    </row>
    <row r="28" spans="1:7" x14ac:dyDescent="0.2">
      <c r="A28" s="3" t="s">
        <v>138</v>
      </c>
      <c r="B28" s="29">
        <f>IFERROR(ABS('03-CFS'!B23),"-")</f>
        <v>2012</v>
      </c>
      <c r="C28" s="29">
        <f>IFERROR(ABS('03-CFS'!C23),"-")</f>
        <v>2169</v>
      </c>
      <c r="D28" s="29">
        <f>IFERROR(ABS('03-CFS'!D23),"-")</f>
        <v>2300</v>
      </c>
      <c r="E28" s="25">
        <v>2400</v>
      </c>
      <c r="F28" s="25">
        <v>2500</v>
      </c>
    </row>
    <row r="29" spans="1:7" x14ac:dyDescent="0.2">
      <c r="A29" s="3" t="s">
        <v>139</v>
      </c>
      <c r="B29" s="29">
        <f>IFERROR(ABS('03-CFS'!B24),"-")</f>
        <v>5480</v>
      </c>
      <c r="C29" s="29">
        <f>IFERROR(ABS('03-CFS'!C24),"-")</f>
        <v>4250</v>
      </c>
      <c r="D29" s="29">
        <f>IFERROR(ABS('03-CFS'!D24),"-")</f>
        <v>2985</v>
      </c>
      <c r="E29" s="25">
        <v>2000</v>
      </c>
      <c r="F29" s="25">
        <v>2000</v>
      </c>
    </row>
    <row r="30" spans="1:7" x14ac:dyDescent="0.2">
      <c r="A30" s="3" t="s">
        <v>140</v>
      </c>
      <c r="B30" s="29">
        <f>IFERROR(ABS('03-CFS'!B25),"-")</f>
        <v>504</v>
      </c>
      <c r="C30" s="29">
        <f>IFERROR(ABS('03-CFS'!C25),"-")</f>
        <v>0</v>
      </c>
      <c r="D30" s="29">
        <f>IFERROR(ABS('03-CFS'!D25),"-")</f>
        <v>1000</v>
      </c>
      <c r="E30" s="25">
        <v>0</v>
      </c>
      <c r="F30" s="25">
        <v>500</v>
      </c>
    </row>
    <row r="33" spans="1:1" x14ac:dyDescent="0.2">
      <c r="A33" s="56" t="s">
        <v>172</v>
      </c>
    </row>
    <row r="34" spans="1:1" x14ac:dyDescent="0.2">
      <c r="A34" s="55" t="s">
        <v>173</v>
      </c>
    </row>
    <row r="35" spans="1:1" x14ac:dyDescent="0.2">
      <c r="A35" s="55" t="s">
        <v>174</v>
      </c>
    </row>
    <row r="36" spans="1:1" x14ac:dyDescent="0.2">
      <c r="A36" s="55" t="s">
        <v>175</v>
      </c>
    </row>
    <row r="37" spans="1:1" x14ac:dyDescent="0.2">
      <c r="A37" s="55" t="s">
        <v>176</v>
      </c>
    </row>
    <row r="38" spans="1:1" x14ac:dyDescent="0.2">
      <c r="A38" s="55" t="s">
        <v>177</v>
      </c>
    </row>
    <row r="39" spans="1:1" x14ac:dyDescent="0.2">
      <c r="A39" s="55" t="s">
        <v>178</v>
      </c>
    </row>
    <row r="40" spans="1:1" x14ac:dyDescent="0.2">
      <c r="A40" s="55" t="s">
        <v>179</v>
      </c>
    </row>
    <row r="41" spans="1:1" x14ac:dyDescent="0.2">
      <c r="A41" s="55" t="s">
        <v>180</v>
      </c>
    </row>
    <row r="42" spans="1:1" x14ac:dyDescent="0.2">
      <c r="A42" s="55" t="s">
        <v>181</v>
      </c>
    </row>
    <row r="43" spans="1:1" x14ac:dyDescent="0.2">
      <c r="A43" s="55" t="s">
        <v>182</v>
      </c>
    </row>
    <row r="44" spans="1:1" x14ac:dyDescent="0.2">
      <c r="A44" s="55" t="s">
        <v>183</v>
      </c>
    </row>
    <row r="45" spans="1:1" x14ac:dyDescent="0.2">
      <c r="A45" s="55" t="s">
        <v>184</v>
      </c>
    </row>
    <row r="46" spans="1:1" x14ac:dyDescent="0.2">
      <c r="A46" s="55" t="s">
        <v>185</v>
      </c>
    </row>
    <row r="47" spans="1:1" x14ac:dyDescent="0.2">
      <c r="A47" s="55" t="s">
        <v>186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E828-3329-D644-9C87-367C25BACF14}">
  <dimension ref="A1:K38"/>
  <sheetViews>
    <sheetView tabSelected="1" zoomScale="87" workbookViewId="0">
      <selection activeCell="G28" sqref="G28"/>
    </sheetView>
  </sheetViews>
  <sheetFormatPr baseColWidth="10" defaultRowHeight="16" x14ac:dyDescent="0.2"/>
  <cols>
    <col min="1" max="1" width="40.6640625" customWidth="1"/>
    <col min="2" max="4" width="14.83203125" customWidth="1"/>
    <col min="5" max="7" width="13.5" bestFit="1" customWidth="1"/>
    <col min="8" max="9" width="12.83203125" customWidth="1"/>
    <col min="10" max="11" width="14.83203125" customWidth="1"/>
  </cols>
  <sheetData>
    <row r="1" spans="1:11" ht="18" x14ac:dyDescent="0.2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3" spans="1:1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21" t="s">
        <v>116</v>
      </c>
      <c r="K3" s="22" t="s">
        <v>117</v>
      </c>
    </row>
    <row r="4" spans="1:11" x14ac:dyDescent="0.2">
      <c r="A4" s="3" t="s">
        <v>10</v>
      </c>
      <c r="B4" s="1">
        <v>21608</v>
      </c>
      <c r="C4" s="1">
        <v>21396</v>
      </c>
      <c r="D4" s="1">
        <v>19572</v>
      </c>
      <c r="E4" s="2"/>
      <c r="F4" s="2"/>
      <c r="G4" s="2"/>
      <c r="H4" s="2"/>
      <c r="I4" s="2"/>
      <c r="J4" s="1">
        <f>D4*(1+'01-Assumption'!E6)</f>
        <v>20354.88</v>
      </c>
      <c r="K4" s="1">
        <f>J4*(1+'01-Assumption'!F6)</f>
        <v>21576.172800000004</v>
      </c>
    </row>
    <row r="5" spans="1:11" x14ac:dyDescent="0.2">
      <c r="A5" s="3" t="s">
        <v>11</v>
      </c>
      <c r="B5" s="1">
        <v>13418</v>
      </c>
      <c r="C5" s="1">
        <v>13607</v>
      </c>
      <c r="D5" s="1">
        <v>12257</v>
      </c>
      <c r="E5" s="2"/>
      <c r="F5" s="2"/>
      <c r="G5" s="2"/>
      <c r="H5" s="2"/>
      <c r="I5" s="2"/>
      <c r="J5" s="1">
        <f>D5*(1+'01-Assumption'!E7)</f>
        <v>12992.42</v>
      </c>
      <c r="K5" s="1">
        <f>J5*(1+'01-Assumption'!F7)</f>
        <v>14031.813600000001</v>
      </c>
    </row>
    <row r="6" spans="1:11" x14ac:dyDescent="0.2">
      <c r="A6" s="3" t="s">
        <v>12</v>
      </c>
      <c r="B6" s="1">
        <v>6431</v>
      </c>
      <c r="C6" s="1">
        <v>6729</v>
      </c>
      <c r="D6" s="1">
        <v>6251</v>
      </c>
      <c r="E6" s="2"/>
      <c r="F6" s="2"/>
      <c r="G6" s="2"/>
      <c r="H6" s="2"/>
      <c r="I6" s="2"/>
      <c r="J6" s="1">
        <f>D6*(1+'01-Assumption'!E8)</f>
        <v>6688.5700000000006</v>
      </c>
      <c r="K6" s="1">
        <f>J6*(1+'01-Assumption'!F8)</f>
        <v>7290.5413000000008</v>
      </c>
    </row>
    <row r="7" spans="1:11" x14ac:dyDescent="0.2">
      <c r="A7" s="3" t="s">
        <v>147</v>
      </c>
      <c r="B7" s="1">
        <v>7248</v>
      </c>
      <c r="C7" s="1">
        <v>7545</v>
      </c>
      <c r="D7" s="1">
        <v>6586</v>
      </c>
      <c r="E7" s="2"/>
      <c r="F7" s="2"/>
      <c r="G7" s="2"/>
      <c r="H7" s="2"/>
      <c r="I7" s="2"/>
      <c r="J7" s="1">
        <f>D7*(1+'01-Assumption'!E9)</f>
        <v>6915.3</v>
      </c>
      <c r="K7" s="1">
        <f>J7*(1+'01-Assumption'!F9)</f>
        <v>7468.5240000000003</v>
      </c>
    </row>
    <row r="8" spans="1:11" x14ac:dyDescent="0.2">
      <c r="A8" s="3" t="s">
        <v>148</v>
      </c>
      <c r="B8" s="1">
        <v>2427</v>
      </c>
      <c r="C8" s="1">
        <v>2082</v>
      </c>
      <c r="D8" s="1">
        <v>1692</v>
      </c>
      <c r="E8" s="2"/>
      <c r="F8" s="2"/>
      <c r="G8" s="2"/>
      <c r="H8" s="2"/>
      <c r="I8" s="2"/>
      <c r="J8" s="1">
        <f>D8*(1+'01-Assumption'!E10)</f>
        <v>1742.76</v>
      </c>
      <c r="K8" s="1">
        <f>J8*(1+'01-Assumption'!F10)</f>
        <v>1829.8980000000001</v>
      </c>
    </row>
    <row r="9" spans="1:11" x14ac:dyDescent="0.2">
      <c r="A9" s="3" t="s">
        <v>149</v>
      </c>
      <c r="B9" s="1">
        <v>27</v>
      </c>
      <c r="C9" s="1">
        <v>-42</v>
      </c>
      <c r="D9" s="1">
        <v>-97</v>
      </c>
      <c r="E9" s="2"/>
      <c r="F9" s="2"/>
      <c r="G9" s="2"/>
      <c r="H9" s="2"/>
      <c r="I9" s="2"/>
      <c r="J9" s="1">
        <f>D9*(1+'01-Assumption'!E5)</f>
        <v>-101.85000000000001</v>
      </c>
      <c r="K9" s="1">
        <f>J9*(1+'01-Assumption'!F5)</f>
        <v>-108.97950000000002</v>
      </c>
    </row>
    <row r="10" spans="1:11" x14ac:dyDescent="0.2">
      <c r="A10" s="3" t="s">
        <v>13</v>
      </c>
      <c r="B10" s="1">
        <v>58</v>
      </c>
      <c r="C10" s="1">
        <v>45</v>
      </c>
      <c r="D10" s="1">
        <v>48</v>
      </c>
      <c r="E10" s="2"/>
      <c r="F10" s="2"/>
      <c r="G10" s="2"/>
      <c r="H10" s="2"/>
      <c r="I10" s="2"/>
      <c r="J10" s="1">
        <f>D10</f>
        <v>48</v>
      </c>
      <c r="K10" s="1">
        <f>D10</f>
        <v>48</v>
      </c>
    </row>
    <row r="11" spans="1:11" s="37" customFormat="1" x14ac:dyDescent="0.2">
      <c r="A11" s="10" t="s">
        <v>14</v>
      </c>
      <c r="B11" s="38">
        <f>SUM(B4:B10)</f>
        <v>51217</v>
      </c>
      <c r="C11" s="38">
        <f t="shared" ref="C11:D11" si="0">SUM(C4:C10)</f>
        <v>51362</v>
      </c>
      <c r="D11" s="38">
        <f t="shared" si="0"/>
        <v>46309</v>
      </c>
      <c r="E11" s="39">
        <f>IFERROR(B11/B11,"-")</f>
        <v>1</v>
      </c>
      <c r="F11" s="39">
        <f t="shared" ref="F11:G11" si="1">IFERROR(C11/C11,"-")</f>
        <v>1</v>
      </c>
      <c r="G11" s="39">
        <f t="shared" si="1"/>
        <v>1</v>
      </c>
      <c r="H11" s="39">
        <f>IFERROR((C11-B11)/B11,"-")</f>
        <v>2.8310912392369722E-3</v>
      </c>
      <c r="I11" s="39">
        <f>IFERROR((D11-C11)/C11,"-")</f>
        <v>-9.8380125384525521E-2</v>
      </c>
      <c r="J11" s="38">
        <f>D11*(1+'01-Assumption'!E5)</f>
        <v>48624.450000000004</v>
      </c>
      <c r="K11" s="38">
        <f>J11*(1+'01-Assumption'!F5)</f>
        <v>52028.161500000009</v>
      </c>
    </row>
    <row r="12" spans="1:11" x14ac:dyDescent="0.2">
      <c r="A12" s="3" t="s">
        <v>15</v>
      </c>
      <c r="B12" s="1">
        <v>28925</v>
      </c>
      <c r="C12" s="1">
        <v>28475</v>
      </c>
      <c r="D12" s="1">
        <v>26519</v>
      </c>
      <c r="E12" s="2"/>
      <c r="F12" s="2"/>
      <c r="G12" s="2"/>
      <c r="H12" s="2"/>
      <c r="I12" s="2"/>
      <c r="J12" s="1">
        <f>J11*(1-'01-Assumption'!E14)</f>
        <v>26986.569749999999</v>
      </c>
      <c r="K12" s="1">
        <f>K11*(1-'01-Assumption'!F14)</f>
        <v>28615.488825000008</v>
      </c>
    </row>
    <row r="13" spans="1:11" s="37" customFormat="1" x14ac:dyDescent="0.2">
      <c r="A13" s="8" t="s">
        <v>16</v>
      </c>
      <c r="B13" s="35">
        <f>B11-B12</f>
        <v>22292</v>
      </c>
      <c r="C13" s="35">
        <f t="shared" ref="C13:D13" si="2">C11-C12</f>
        <v>22887</v>
      </c>
      <c r="D13" s="35">
        <f t="shared" si="2"/>
        <v>19790</v>
      </c>
      <c r="E13" s="36">
        <f>IFERROR(B13/B11,"-")</f>
        <v>0.43524610969014194</v>
      </c>
      <c r="F13" s="36">
        <f t="shared" ref="F13:G13" si="3">IFERROR(C13/C11,"-")</f>
        <v>0.44560180678322497</v>
      </c>
      <c r="G13" s="36">
        <f t="shared" si="3"/>
        <v>0.42734673605562634</v>
      </c>
      <c r="H13" s="36">
        <f>IFERROR((C13-B13)/B13,"-")</f>
        <v>2.6691189664453614E-2</v>
      </c>
      <c r="I13" s="36">
        <f>IFERROR((D13-C13)/C13,"-")</f>
        <v>-0.13531699217896623</v>
      </c>
      <c r="J13" s="42">
        <f>J11-J12</f>
        <v>21637.880250000006</v>
      </c>
      <c r="K13" s="42">
        <f>K11-K12</f>
        <v>23412.672675000002</v>
      </c>
    </row>
    <row r="14" spans="1:11" x14ac:dyDescent="0.2">
      <c r="A14" s="3" t="s">
        <v>17</v>
      </c>
      <c r="B14" s="1">
        <v>4060</v>
      </c>
      <c r="C14" s="1">
        <v>4285</v>
      </c>
      <c r="D14" s="1">
        <v>4689</v>
      </c>
      <c r="E14" s="2"/>
      <c r="F14" s="2"/>
      <c r="G14" s="2"/>
      <c r="H14" s="2"/>
      <c r="I14" s="2"/>
      <c r="J14" s="1">
        <f>J11*'01-Assumption'!E16</f>
        <v>4035.8293500000004</v>
      </c>
      <c r="K14" s="1">
        <f>K11*'01-Assumption'!F16</f>
        <v>4266.3092430000006</v>
      </c>
    </row>
    <row r="15" spans="1:11" x14ac:dyDescent="0.2">
      <c r="A15" s="3" t="s">
        <v>18</v>
      </c>
      <c r="B15" s="1">
        <v>12317</v>
      </c>
      <c r="C15" s="1">
        <v>12291</v>
      </c>
      <c r="D15" s="1">
        <v>11399</v>
      </c>
      <c r="E15" s="2"/>
      <c r="F15" s="2"/>
      <c r="G15" s="2"/>
      <c r="H15" s="2"/>
      <c r="I15" s="2"/>
      <c r="J15" s="1">
        <f>J11*'01-Assumption'!E17</f>
        <v>11037.750150000002</v>
      </c>
      <c r="K15" s="1">
        <f>K11*'01-Assumption'!F17</f>
        <v>11602.280014500002</v>
      </c>
    </row>
    <row r="16" spans="1:11" s="37" customFormat="1" x14ac:dyDescent="0.2">
      <c r="A16" s="10" t="s">
        <v>19</v>
      </c>
      <c r="B16" s="38">
        <f>B14+B15</f>
        <v>16377</v>
      </c>
      <c r="C16" s="38">
        <f t="shared" ref="C16:D16" si="4">C14+C15</f>
        <v>16576</v>
      </c>
      <c r="D16" s="38">
        <f t="shared" si="4"/>
        <v>16088</v>
      </c>
      <c r="E16" s="39"/>
      <c r="F16" s="39"/>
      <c r="G16" s="39"/>
      <c r="H16" s="39"/>
      <c r="I16" s="39"/>
      <c r="J16" s="52">
        <f>J14+J15</f>
        <v>15073.579500000002</v>
      </c>
      <c r="K16" s="38">
        <f>K14+K15</f>
        <v>15868.589257500003</v>
      </c>
    </row>
    <row r="17" spans="1:11" s="37" customFormat="1" x14ac:dyDescent="0.2">
      <c r="A17" s="8" t="s">
        <v>20</v>
      </c>
      <c r="B17" s="35">
        <f>B13-B16</f>
        <v>5915</v>
      </c>
      <c r="C17" s="35">
        <f t="shared" ref="C17:D17" si="5">C13-C16</f>
        <v>6311</v>
      </c>
      <c r="D17" s="35">
        <f t="shared" si="5"/>
        <v>3702</v>
      </c>
      <c r="E17" s="36">
        <f>IFERROR(B17/B11,"-")</f>
        <v>0.11548899779370131</v>
      </c>
      <c r="F17" s="36">
        <f t="shared" ref="F17:G17" si="6">IFERROR(C17/C11,"-")</f>
        <v>0.12287294108484872</v>
      </c>
      <c r="G17" s="36">
        <f t="shared" si="6"/>
        <v>7.9941264117126265E-2</v>
      </c>
      <c r="H17" s="36">
        <f>IFERROR((C17-B17)/B17,"-")</f>
        <v>6.6948436179205414E-2</v>
      </c>
      <c r="I17" s="36">
        <f>IFERROR((D17-C17)/C17,"-")</f>
        <v>-0.41340516558390111</v>
      </c>
      <c r="J17" s="42">
        <f>J13-J16</f>
        <v>6564.300750000004</v>
      </c>
      <c r="K17" s="42">
        <f>K13-K16</f>
        <v>7544.0834174999982</v>
      </c>
    </row>
    <row r="18" spans="1:11" x14ac:dyDescent="0.2">
      <c r="A18" s="3" t="s">
        <v>21</v>
      </c>
      <c r="B18" s="1">
        <v>703</v>
      </c>
      <c r="C18" s="1">
        <v>796</v>
      </c>
      <c r="D18" s="1">
        <v>775</v>
      </c>
      <c r="E18" s="2"/>
      <c r="F18" s="2"/>
      <c r="G18" s="2"/>
      <c r="H18" s="2"/>
      <c r="I18" s="2"/>
      <c r="J18" s="1">
        <f>J11*'01-Assumption'!E21</f>
        <v>1555.9824000000001</v>
      </c>
      <c r="K18" s="1">
        <f>K11*'01-Assumption'!F21</f>
        <v>1664.9011680000003</v>
      </c>
    </row>
    <row r="19" spans="1:11" s="37" customFormat="1" x14ac:dyDescent="0.2">
      <c r="A19" s="8" t="s">
        <v>22</v>
      </c>
      <c r="B19" s="35">
        <f>B17+B18</f>
        <v>6618</v>
      </c>
      <c r="C19" s="35">
        <f t="shared" ref="C19:D19" si="7">C17+C18</f>
        <v>7107</v>
      </c>
      <c r="D19" s="35">
        <f t="shared" si="7"/>
        <v>4477</v>
      </c>
      <c r="E19" s="36">
        <f>IFERROR(B19/B11,"-")</f>
        <v>0.12921490911220884</v>
      </c>
      <c r="F19" s="36">
        <f t="shared" ref="F19:G19" si="8">IFERROR(C19/C11,"-")</f>
        <v>0.13837077995405164</v>
      </c>
      <c r="G19" s="36">
        <f t="shared" si="8"/>
        <v>9.667667192122481E-2</v>
      </c>
      <c r="H19" s="36">
        <f>IFERROR((C19-B19)/B19,"-")</f>
        <v>7.3889392565729822E-2</v>
      </c>
      <c r="I19" s="36">
        <f>IFERROR((D19-C19)/C19,"-")</f>
        <v>-0.37005768960180102</v>
      </c>
      <c r="J19" s="42">
        <f>J17+J18</f>
        <v>8120.2831500000038</v>
      </c>
      <c r="K19" s="42">
        <f>K17+K18</f>
        <v>9208.9845854999985</v>
      </c>
    </row>
    <row r="20" spans="1:11" x14ac:dyDescent="0.2">
      <c r="A20" s="3" t="s">
        <v>23</v>
      </c>
      <c r="B20" s="1">
        <v>-6</v>
      </c>
      <c r="C20" s="1">
        <v>-161</v>
      </c>
      <c r="D20" s="1">
        <v>-107</v>
      </c>
      <c r="E20" s="2"/>
      <c r="F20" s="2"/>
      <c r="G20" s="2"/>
      <c r="H20" s="2"/>
      <c r="I20" s="2"/>
      <c r="J20" s="1">
        <f>D20</f>
        <v>-107</v>
      </c>
      <c r="K20" s="1">
        <f>D20</f>
        <v>-107</v>
      </c>
    </row>
    <row r="21" spans="1:11" x14ac:dyDescent="0.2">
      <c r="A21" s="3" t="s">
        <v>150</v>
      </c>
      <c r="B21" s="1">
        <v>280</v>
      </c>
      <c r="C21" s="1">
        <v>228</v>
      </c>
      <c r="D21" s="1">
        <v>76</v>
      </c>
      <c r="E21" s="2"/>
      <c r="F21" s="2"/>
      <c r="G21" s="2"/>
      <c r="H21" s="2"/>
      <c r="I21" s="2"/>
      <c r="J21" s="1">
        <f>D21</f>
        <v>76</v>
      </c>
      <c r="K21" s="1">
        <f>D21</f>
        <v>76</v>
      </c>
    </row>
    <row r="22" spans="1:11" s="37" customFormat="1" x14ac:dyDescent="0.2">
      <c r="A22" s="10" t="s">
        <v>24</v>
      </c>
      <c r="B22" s="38">
        <f>B17-B20+B21</f>
        <v>6201</v>
      </c>
      <c r="C22" s="38">
        <f t="shared" ref="C22:D22" si="9">C17-C20+C21</f>
        <v>6700</v>
      </c>
      <c r="D22" s="38">
        <f t="shared" si="9"/>
        <v>3885</v>
      </c>
      <c r="E22" s="39"/>
      <c r="F22" s="39"/>
      <c r="G22" s="39"/>
      <c r="H22" s="39"/>
      <c r="I22" s="39"/>
      <c r="J22" s="52">
        <f>J17+J20+J21</f>
        <v>6533.300750000004</v>
      </c>
      <c r="K22" s="52">
        <f>K17+K20+K21</f>
        <v>7513.0834174999982</v>
      </c>
    </row>
    <row r="23" spans="1:11" x14ac:dyDescent="0.2">
      <c r="A23" s="3" t="s">
        <v>25</v>
      </c>
      <c r="B23" s="1">
        <v>1131</v>
      </c>
      <c r="C23" s="1">
        <v>1000</v>
      </c>
      <c r="D23" s="1">
        <v>666</v>
      </c>
      <c r="E23" s="2"/>
      <c r="F23" s="2"/>
      <c r="G23" s="2"/>
      <c r="H23" s="2"/>
      <c r="I23" s="2"/>
      <c r="J23" s="1">
        <f>J22*'01-Assumption'!E18</f>
        <v>1208.6606387500008</v>
      </c>
      <c r="K23" s="1">
        <f>K22*'01-Assumption'!F18</f>
        <v>1389.9204322374997</v>
      </c>
    </row>
    <row r="24" spans="1:11" s="37" customFormat="1" ht="17" thickBot="1" x14ac:dyDescent="0.25">
      <c r="A24" s="9" t="s">
        <v>26</v>
      </c>
      <c r="B24" s="40">
        <f>B22-B23</f>
        <v>5070</v>
      </c>
      <c r="C24" s="40">
        <f>C22-C23</f>
        <v>5700</v>
      </c>
      <c r="D24" s="40">
        <f>D22-D23</f>
        <v>3219</v>
      </c>
      <c r="E24" s="41">
        <f>IFERROR(B24/B11,"-")</f>
        <v>9.8990569537458259E-2</v>
      </c>
      <c r="F24" s="41">
        <f>IFERROR(C24/C11,"-")</f>
        <v>0.11097698687745804</v>
      </c>
      <c r="G24" s="41">
        <f>IFERROR(D24/D11,"-")</f>
        <v>6.9511326092120324E-2</v>
      </c>
      <c r="H24" s="41">
        <f>IFERROR((C24-B24)/B24,"-")</f>
        <v>0.1242603550295858</v>
      </c>
      <c r="I24" s="41">
        <f>IFERROR((D24-C24)/C24,"-")</f>
        <v>-0.43526315789473685</v>
      </c>
      <c r="J24" s="43">
        <f>J22-J23</f>
        <v>5324.6401112500034</v>
      </c>
      <c r="K24" s="43">
        <f>K22-K23</f>
        <v>6123.1629852624983</v>
      </c>
    </row>
    <row r="25" spans="1:11" ht="17" thickTop="1" x14ac:dyDescent="0.2"/>
    <row r="28" spans="1:11" x14ac:dyDescent="0.2">
      <c r="A28" s="56" t="s">
        <v>187</v>
      </c>
    </row>
    <row r="29" spans="1:11" x14ac:dyDescent="0.2">
      <c r="A29" s="55" t="s">
        <v>188</v>
      </c>
    </row>
    <row r="30" spans="1:11" x14ac:dyDescent="0.2">
      <c r="A30" s="55" t="s">
        <v>189</v>
      </c>
    </row>
    <row r="31" spans="1:11" x14ac:dyDescent="0.2">
      <c r="A31" s="55" t="s">
        <v>190</v>
      </c>
    </row>
    <row r="32" spans="1:11" x14ac:dyDescent="0.2">
      <c r="A32" s="55" t="s">
        <v>191</v>
      </c>
    </row>
    <row r="33" spans="1:1" x14ac:dyDescent="0.2">
      <c r="A33" s="55" t="s">
        <v>192</v>
      </c>
    </row>
    <row r="34" spans="1:1" x14ac:dyDescent="0.2">
      <c r="A34" s="55" t="s">
        <v>193</v>
      </c>
    </row>
    <row r="35" spans="1:1" x14ac:dyDescent="0.2">
      <c r="A35" s="55" t="s">
        <v>194</v>
      </c>
    </row>
    <row r="36" spans="1:1" x14ac:dyDescent="0.2">
      <c r="A36" s="55" t="s">
        <v>195</v>
      </c>
    </row>
    <row r="37" spans="1:1" x14ac:dyDescent="0.2">
      <c r="A37" s="55" t="s">
        <v>196</v>
      </c>
    </row>
    <row r="38" spans="1:1" x14ac:dyDescent="0.2">
      <c r="A38" s="57" t="s">
        <v>197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D93B-8663-9C46-946E-EB82002DCB39}">
  <dimension ref="A1:I50"/>
  <sheetViews>
    <sheetView zoomScale="75" zoomScaleNormal="100" workbookViewId="0">
      <selection activeCell="L28" sqref="L28"/>
    </sheetView>
  </sheetViews>
  <sheetFormatPr baseColWidth="10" defaultRowHeight="16" x14ac:dyDescent="0.2"/>
  <cols>
    <col min="1" max="1" width="42.83203125" customWidth="1"/>
    <col min="2" max="4" width="14.83203125" customWidth="1"/>
    <col min="8" max="9" width="12.83203125" customWidth="1"/>
  </cols>
  <sheetData>
    <row r="1" spans="1:9" ht="18" x14ac:dyDescent="0.2">
      <c r="A1" s="34" t="s">
        <v>27</v>
      </c>
      <c r="B1" s="34"/>
      <c r="C1" s="34"/>
      <c r="D1" s="34"/>
      <c r="E1" s="34"/>
      <c r="F1" s="34"/>
      <c r="G1" s="34"/>
      <c r="H1" s="34"/>
      <c r="I1" s="34"/>
    </row>
    <row r="3" spans="1:9" x14ac:dyDescent="0.2">
      <c r="A3" s="5" t="s">
        <v>1</v>
      </c>
      <c r="B3" s="5" t="s">
        <v>2</v>
      </c>
      <c r="C3" s="5" t="s">
        <v>3</v>
      </c>
      <c r="D3" s="5" t="s">
        <v>4</v>
      </c>
      <c r="E3" s="22" t="s">
        <v>116</v>
      </c>
      <c r="F3" s="22" t="s">
        <v>117</v>
      </c>
      <c r="H3" s="5" t="s">
        <v>8</v>
      </c>
      <c r="I3" s="5" t="s">
        <v>9</v>
      </c>
    </row>
    <row r="4" spans="1:9" x14ac:dyDescent="0.2">
      <c r="A4" s="10" t="s">
        <v>29</v>
      </c>
    </row>
    <row r="5" spans="1:9" x14ac:dyDescent="0.2">
      <c r="A5" s="3" t="s">
        <v>28</v>
      </c>
      <c r="B5" s="1">
        <f>'02-IS'!B24</f>
        <v>5070</v>
      </c>
      <c r="C5" s="1">
        <f>'02-IS'!C24</f>
        <v>5700</v>
      </c>
      <c r="D5" s="1">
        <f>'02-IS'!D24</f>
        <v>3219</v>
      </c>
      <c r="E5" s="1">
        <f>'02-IS'!J24</f>
        <v>5324.6401112500034</v>
      </c>
      <c r="F5" s="1">
        <f>'02-IS'!K24</f>
        <v>6123.1629852624983</v>
      </c>
    </row>
    <row r="6" spans="1:9" x14ac:dyDescent="0.2">
      <c r="A6" s="3" t="s">
        <v>30</v>
      </c>
      <c r="B6">
        <v>703</v>
      </c>
      <c r="C6">
        <v>796</v>
      </c>
      <c r="D6">
        <v>775</v>
      </c>
      <c r="E6" s="1">
        <f>'02-IS'!J11*'01-Assumption'!E21</f>
        <v>1555.9824000000001</v>
      </c>
      <c r="F6" s="1">
        <f>'02-IS'!K11*'01-Assumption'!F21</f>
        <v>1664.9011680000003</v>
      </c>
    </row>
    <row r="7" spans="1:9" x14ac:dyDescent="0.2">
      <c r="A7" s="3" t="s">
        <v>31</v>
      </c>
      <c r="B7">
        <v>755</v>
      </c>
      <c r="C7">
        <v>804</v>
      </c>
      <c r="D7">
        <v>709</v>
      </c>
      <c r="E7">
        <f>D7</f>
        <v>709</v>
      </c>
      <c r="F7">
        <f>E7</f>
        <v>709</v>
      </c>
    </row>
    <row r="8" spans="1:9" x14ac:dyDescent="0.2">
      <c r="A8" s="3" t="s">
        <v>32</v>
      </c>
      <c r="B8">
        <v>-117</v>
      </c>
      <c r="C8">
        <v>-497</v>
      </c>
      <c r="D8">
        <v>-288</v>
      </c>
      <c r="E8">
        <f>D8</f>
        <v>-288</v>
      </c>
      <c r="F8">
        <f>E8</f>
        <v>-288</v>
      </c>
    </row>
    <row r="9" spans="1:9" x14ac:dyDescent="0.2">
      <c r="A9" s="3" t="s">
        <v>33</v>
      </c>
      <c r="B9">
        <v>489</v>
      </c>
      <c r="C9">
        <v>-329</v>
      </c>
      <c r="D9">
        <v>-257</v>
      </c>
      <c r="E9">
        <f>D9</f>
        <v>-257</v>
      </c>
      <c r="F9">
        <f>E9</f>
        <v>-257</v>
      </c>
    </row>
    <row r="10" spans="1:9" x14ac:dyDescent="0.2">
      <c r="A10" s="3" t="s">
        <v>34</v>
      </c>
      <c r="B10">
        <v>-133</v>
      </c>
      <c r="C10">
        <v>908</v>
      </c>
      <c r="D10">
        <v>120</v>
      </c>
      <c r="E10">
        <f t="shared" ref="E10:F13" si="0">D10</f>
        <v>120</v>
      </c>
      <c r="F10">
        <f t="shared" si="0"/>
        <v>120</v>
      </c>
    </row>
    <row r="11" spans="1:9" x14ac:dyDescent="0.2">
      <c r="A11" s="3" t="s">
        <v>35</v>
      </c>
      <c r="B11">
        <v>-225</v>
      </c>
      <c r="C11">
        <v>397</v>
      </c>
      <c r="D11">
        <v>-426</v>
      </c>
      <c r="E11">
        <f t="shared" si="0"/>
        <v>-426</v>
      </c>
      <c r="F11">
        <f t="shared" si="0"/>
        <v>-426</v>
      </c>
    </row>
    <row r="12" spans="1:9" x14ac:dyDescent="0.2">
      <c r="A12" s="3" t="s">
        <v>151</v>
      </c>
      <c r="B12">
        <v>-644</v>
      </c>
      <c r="C12">
        <v>-260</v>
      </c>
      <c r="D12">
        <v>-224</v>
      </c>
      <c r="E12">
        <f t="shared" si="0"/>
        <v>-224</v>
      </c>
      <c r="F12">
        <f t="shared" si="0"/>
        <v>-224</v>
      </c>
    </row>
    <row r="13" spans="1:9" x14ac:dyDescent="0.2">
      <c r="A13" s="3" t="s">
        <v>36</v>
      </c>
      <c r="B13">
        <v>-57</v>
      </c>
      <c r="C13">
        <v>-90</v>
      </c>
      <c r="D13">
        <v>70</v>
      </c>
      <c r="E13">
        <f t="shared" si="0"/>
        <v>70</v>
      </c>
      <c r="F13">
        <f t="shared" si="0"/>
        <v>70</v>
      </c>
    </row>
    <row r="14" spans="1:9" s="7" customFormat="1" x14ac:dyDescent="0.2">
      <c r="A14" s="8" t="s">
        <v>37</v>
      </c>
      <c r="B14" s="42">
        <f>SUM(B5:B13)</f>
        <v>5841</v>
      </c>
      <c r="C14" s="42">
        <f t="shared" ref="C14:F14" si="1">SUM(C5:C13)</f>
        <v>7429</v>
      </c>
      <c r="D14" s="42">
        <f t="shared" si="1"/>
        <v>3698</v>
      </c>
      <c r="E14" s="42">
        <f t="shared" si="1"/>
        <v>6584.6225112500033</v>
      </c>
      <c r="F14" s="42">
        <f t="shared" si="1"/>
        <v>7492.0641532624977</v>
      </c>
      <c r="H14" s="12">
        <f>IFERROR((C14-B14)/ABS(B14),"-")</f>
        <v>0.2718712549221024</v>
      </c>
      <c r="I14" s="12">
        <f>IFERROR((D14-C14)/ABS(C14),"-")</f>
        <v>-0.50222102571005522</v>
      </c>
    </row>
    <row r="15" spans="1:9" x14ac:dyDescent="0.2">
      <c r="A15" s="3"/>
    </row>
    <row r="16" spans="1:9" x14ac:dyDescent="0.2">
      <c r="A16" s="10" t="s">
        <v>38</v>
      </c>
    </row>
    <row r="17" spans="1:9" x14ac:dyDescent="0.2">
      <c r="A17" s="3" t="s">
        <v>39</v>
      </c>
      <c r="B17">
        <v>-969</v>
      </c>
      <c r="C17">
        <v>-812</v>
      </c>
      <c r="D17">
        <v>-430</v>
      </c>
      <c r="E17" s="1">
        <f>-'02-IS'!J11*'01-Assumption'!E22</f>
        <v>-1701.8557500000004</v>
      </c>
      <c r="F17" s="1">
        <f>-'02-IS'!K11*'01-Assumption'!F22</f>
        <v>-1768.9574910000003</v>
      </c>
    </row>
    <row r="18" spans="1:9" x14ac:dyDescent="0.2">
      <c r="A18" s="3" t="s">
        <v>40</v>
      </c>
      <c r="B18">
        <v>1481</v>
      </c>
      <c r="C18">
        <v>1721</v>
      </c>
      <c r="D18">
        <v>147</v>
      </c>
      <c r="E18" s="1">
        <f>D18</f>
        <v>147</v>
      </c>
      <c r="F18" s="1">
        <f>E18</f>
        <v>147</v>
      </c>
    </row>
    <row r="19" spans="1:9" x14ac:dyDescent="0.2">
      <c r="A19" s="3" t="s">
        <v>41</v>
      </c>
      <c r="B19">
        <v>52</v>
      </c>
      <c r="C19">
        <v>-15</v>
      </c>
      <c r="D19">
        <v>8</v>
      </c>
      <c r="E19" s="1">
        <f>D19</f>
        <v>8</v>
      </c>
      <c r="F19" s="1">
        <f>E19</f>
        <v>8</v>
      </c>
    </row>
    <row r="20" spans="1:9" s="7" customFormat="1" x14ac:dyDescent="0.2">
      <c r="A20" s="8" t="s">
        <v>42</v>
      </c>
      <c r="B20" s="12">
        <f>SUM(B17:B19)</f>
        <v>564</v>
      </c>
      <c r="C20" s="12">
        <f t="shared" ref="C20:F20" si="2">SUM(C17:C19)</f>
        <v>894</v>
      </c>
      <c r="D20" s="12">
        <f t="shared" si="2"/>
        <v>-275</v>
      </c>
      <c r="E20" s="42">
        <f t="shared" si="2"/>
        <v>-1546.8557500000004</v>
      </c>
      <c r="F20" s="42">
        <f t="shared" si="2"/>
        <v>-1613.9574910000003</v>
      </c>
      <c r="H20" s="12">
        <f>IFERROR((C20-B20)/ABS(B20),"-")</f>
        <v>0.58510638297872342</v>
      </c>
      <c r="I20" s="12">
        <f>IFERROR((D20-C20)/ABS(C20),"-")</f>
        <v>-1.3076062639821029</v>
      </c>
    </row>
    <row r="21" spans="1:9" x14ac:dyDescent="0.2">
      <c r="A21" s="3"/>
      <c r="E21" s="1"/>
      <c r="F21" s="1"/>
    </row>
    <row r="22" spans="1:9" x14ac:dyDescent="0.2">
      <c r="A22" s="10" t="s">
        <v>43</v>
      </c>
      <c r="E22" s="1"/>
      <c r="F22" s="1"/>
    </row>
    <row r="23" spans="1:9" x14ac:dyDescent="0.2">
      <c r="A23" s="3" t="s">
        <v>44</v>
      </c>
      <c r="B23">
        <v>-2012</v>
      </c>
      <c r="C23">
        <v>-2169</v>
      </c>
      <c r="D23">
        <v>-2300</v>
      </c>
      <c r="E23" s="1">
        <f>-'01-Assumption'!E28</f>
        <v>-2400</v>
      </c>
      <c r="F23" s="1">
        <f>-'01-Assumption'!F28</f>
        <v>-2500</v>
      </c>
    </row>
    <row r="24" spans="1:9" x14ac:dyDescent="0.2">
      <c r="A24" s="3" t="s">
        <v>45</v>
      </c>
      <c r="B24">
        <v>-5480</v>
      </c>
      <c r="C24">
        <v>-4250</v>
      </c>
      <c r="D24">
        <v>-2985</v>
      </c>
      <c r="E24" s="1">
        <f>-'01-Assumption'!E29</f>
        <v>-2000</v>
      </c>
      <c r="F24" s="1">
        <f>-'01-Assumption'!F29</f>
        <v>-2000</v>
      </c>
    </row>
    <row r="25" spans="1:9" x14ac:dyDescent="0.2">
      <c r="A25" s="3" t="s">
        <v>46</v>
      </c>
      <c r="B25">
        <v>-504</v>
      </c>
      <c r="C25">
        <v>0</v>
      </c>
      <c r="D25">
        <v>-1000</v>
      </c>
      <c r="E25" s="1">
        <f>-'01-Assumption'!E30</f>
        <v>0</v>
      </c>
      <c r="F25" s="1">
        <f>-'01-Assumption'!F30</f>
        <v>-500</v>
      </c>
    </row>
    <row r="26" spans="1:9" x14ac:dyDescent="0.2">
      <c r="A26" s="3" t="s">
        <v>47</v>
      </c>
      <c r="B26">
        <v>549</v>
      </c>
      <c r="C26">
        <v>531</v>
      </c>
      <c r="D26">
        <v>466</v>
      </c>
      <c r="E26" s="1">
        <f>D26</f>
        <v>466</v>
      </c>
      <c r="F26" s="1">
        <f>E26</f>
        <v>466</v>
      </c>
    </row>
    <row r="27" spans="1:9" s="7" customFormat="1" x14ac:dyDescent="0.2">
      <c r="A27" s="8" t="s">
        <v>48</v>
      </c>
      <c r="B27" s="12">
        <f>SUM(B23:B26)</f>
        <v>-7447</v>
      </c>
      <c r="C27" s="12">
        <f t="shared" ref="C27:F27" si="3">SUM(C23:C26)</f>
        <v>-5888</v>
      </c>
      <c r="D27" s="12">
        <f t="shared" si="3"/>
        <v>-5819</v>
      </c>
      <c r="E27" s="12">
        <f t="shared" si="3"/>
        <v>-3934</v>
      </c>
      <c r="F27" s="12">
        <f t="shared" si="3"/>
        <v>-4534</v>
      </c>
      <c r="H27" s="12">
        <f>IFERROR((C27-B27)/ABS(B27),"-")</f>
        <v>0.20934604538740431</v>
      </c>
      <c r="I27" s="12">
        <f>IFERROR((D27-C27)/ABS(C27),"-")</f>
        <v>1.171875E-2</v>
      </c>
    </row>
    <row r="28" spans="1:9" x14ac:dyDescent="0.2">
      <c r="A28" s="3"/>
      <c r="E28" s="1"/>
      <c r="F28" s="1"/>
    </row>
    <row r="29" spans="1:9" s="7" customFormat="1" x14ac:dyDescent="0.2">
      <c r="A29" s="8" t="s">
        <v>49</v>
      </c>
      <c r="B29" s="42">
        <f>B14+B20+B27</f>
        <v>-1042</v>
      </c>
      <c r="C29" s="42">
        <f t="shared" ref="C29:F29" si="4">C14+C20+C27</f>
        <v>2435</v>
      </c>
      <c r="D29" s="42">
        <f t="shared" si="4"/>
        <v>-2396</v>
      </c>
      <c r="E29" s="42">
        <f t="shared" si="4"/>
        <v>1103.7667612500027</v>
      </c>
      <c r="F29" s="42">
        <f t="shared" si="4"/>
        <v>1344.1066622624976</v>
      </c>
    </row>
    <row r="30" spans="1:9" s="7" customFormat="1" x14ac:dyDescent="0.2">
      <c r="A30" s="44" t="s">
        <v>152</v>
      </c>
      <c r="B30" s="45">
        <v>-91</v>
      </c>
      <c r="C30" s="45">
        <v>-16</v>
      </c>
      <c r="D30" s="45">
        <v>1</v>
      </c>
      <c r="E30" s="53">
        <f>D30</f>
        <v>1</v>
      </c>
      <c r="F30" s="52">
        <f>E30</f>
        <v>1</v>
      </c>
    </row>
    <row r="31" spans="1:9" x14ac:dyDescent="0.2">
      <c r="A31" s="3" t="s">
        <v>50</v>
      </c>
      <c r="B31">
        <v>8574</v>
      </c>
      <c r="C31">
        <v>7441</v>
      </c>
      <c r="D31">
        <v>9860</v>
      </c>
      <c r="E31" s="1">
        <f>D32</f>
        <v>7465</v>
      </c>
      <c r="F31" s="1">
        <f>E32</f>
        <v>8569.7667612500027</v>
      </c>
    </row>
    <row r="32" spans="1:9" s="7" customFormat="1" ht="17" thickBot="1" x14ac:dyDescent="0.25">
      <c r="A32" s="9" t="s">
        <v>51</v>
      </c>
      <c r="B32" s="43">
        <f>B29+B31+B30</f>
        <v>7441</v>
      </c>
      <c r="C32" s="43">
        <f t="shared" ref="C32:F32" si="5">C29+C31+C30</f>
        <v>9860</v>
      </c>
      <c r="D32" s="43">
        <f t="shared" si="5"/>
        <v>7465</v>
      </c>
      <c r="E32" s="43">
        <f t="shared" si="5"/>
        <v>8569.7667612500027</v>
      </c>
      <c r="F32" s="43">
        <f t="shared" si="5"/>
        <v>9914.8734235125012</v>
      </c>
    </row>
    <row r="33" spans="1:9" ht="17" thickTop="1" x14ac:dyDescent="0.2">
      <c r="A33" s="3"/>
      <c r="E33" s="1"/>
      <c r="F33" s="1"/>
    </row>
    <row r="34" spans="1:9" s="7" customFormat="1" ht="17" thickBot="1" x14ac:dyDescent="0.25">
      <c r="A34" s="9" t="s">
        <v>52</v>
      </c>
      <c r="B34" s="43">
        <f>B14+B17</f>
        <v>4872</v>
      </c>
      <c r="C34" s="43">
        <f t="shared" ref="C34:F34" si="6">C14+C17</f>
        <v>6617</v>
      </c>
      <c r="D34" s="43">
        <f t="shared" si="6"/>
        <v>3268</v>
      </c>
      <c r="E34" s="43">
        <f t="shared" si="6"/>
        <v>4882.7667612500027</v>
      </c>
      <c r="F34" s="43">
        <f t="shared" si="6"/>
        <v>5723.1066622624976</v>
      </c>
      <c r="H34" s="13">
        <f>IFERROR((C34-B34)/ABS(B34),"-")</f>
        <v>0.35816912972085385</v>
      </c>
      <c r="I34" s="13">
        <f>IFERROR((D34-C34)/ABS(C34),"-")</f>
        <v>-0.50612059845851598</v>
      </c>
    </row>
    <row r="35" spans="1:9" ht="17" thickTop="1" x14ac:dyDescent="0.2"/>
    <row r="38" spans="1:9" x14ac:dyDescent="0.2">
      <c r="A38" s="56" t="s">
        <v>198</v>
      </c>
    </row>
    <row r="39" spans="1:9" x14ac:dyDescent="0.2">
      <c r="A39" s="55" t="s">
        <v>199</v>
      </c>
    </row>
    <row r="40" spans="1:9" x14ac:dyDescent="0.2">
      <c r="A40" s="55" t="s">
        <v>200</v>
      </c>
    </row>
    <row r="41" spans="1:9" x14ac:dyDescent="0.2">
      <c r="A41" s="55" t="s">
        <v>201</v>
      </c>
    </row>
    <row r="42" spans="1:9" x14ac:dyDescent="0.2">
      <c r="A42" s="55" t="s">
        <v>202</v>
      </c>
    </row>
    <row r="43" spans="1:9" x14ac:dyDescent="0.2">
      <c r="A43" s="55" t="s">
        <v>203</v>
      </c>
    </row>
    <row r="44" spans="1:9" x14ac:dyDescent="0.2">
      <c r="A44" s="55" t="s">
        <v>204</v>
      </c>
    </row>
    <row r="45" spans="1:9" x14ac:dyDescent="0.2">
      <c r="A45" s="55" t="s">
        <v>205</v>
      </c>
    </row>
    <row r="46" spans="1:9" x14ac:dyDescent="0.2">
      <c r="A46" s="55" t="s">
        <v>206</v>
      </c>
    </row>
    <row r="47" spans="1:9" x14ac:dyDescent="0.2">
      <c r="A47" s="55" t="s">
        <v>207</v>
      </c>
    </row>
    <row r="48" spans="1:9" x14ac:dyDescent="0.2">
      <c r="A48" s="55" t="s">
        <v>208</v>
      </c>
    </row>
    <row r="49" spans="1:1" x14ac:dyDescent="0.2">
      <c r="A49" s="55" t="s">
        <v>209</v>
      </c>
    </row>
    <row r="50" spans="1:1" x14ac:dyDescent="0.2">
      <c r="A50" s="55" t="s">
        <v>210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CC75-EE1B-864E-970E-FE1A2DDAB247}">
  <dimension ref="A1:I61"/>
  <sheetViews>
    <sheetView zoomScale="60" zoomScaleNormal="110" workbookViewId="0">
      <selection activeCell="A67" sqref="A67"/>
    </sheetView>
  </sheetViews>
  <sheetFormatPr baseColWidth="10" defaultRowHeight="16" x14ac:dyDescent="0.2"/>
  <cols>
    <col min="1" max="1" width="40.83203125" customWidth="1"/>
    <col min="2" max="4" width="14.83203125" customWidth="1"/>
    <col min="8" max="9" width="12.83203125" customWidth="1"/>
  </cols>
  <sheetData>
    <row r="1" spans="1:9" ht="18" x14ac:dyDescent="0.2">
      <c r="A1" s="34" t="s">
        <v>53</v>
      </c>
      <c r="B1" s="34"/>
      <c r="C1" s="34"/>
      <c r="D1" s="34"/>
      <c r="E1" s="34"/>
      <c r="F1" s="34"/>
      <c r="G1" s="34"/>
      <c r="H1" s="34"/>
      <c r="I1" s="34"/>
    </row>
    <row r="3" spans="1:9" x14ac:dyDescent="0.2">
      <c r="A3" s="6" t="s">
        <v>1</v>
      </c>
      <c r="B3" s="6" t="s">
        <v>2</v>
      </c>
      <c r="C3" s="6" t="s">
        <v>3</v>
      </c>
      <c r="D3" s="6" t="s">
        <v>4</v>
      </c>
      <c r="E3" s="22" t="s">
        <v>116</v>
      </c>
      <c r="F3" s="22" t="s">
        <v>117</v>
      </c>
      <c r="H3" s="6" t="s">
        <v>8</v>
      </c>
      <c r="I3" s="6" t="s">
        <v>9</v>
      </c>
    </row>
    <row r="4" spans="1:9" x14ac:dyDescent="0.2">
      <c r="A4" s="10" t="s">
        <v>54</v>
      </c>
    </row>
    <row r="5" spans="1:9" x14ac:dyDescent="0.2">
      <c r="A5" s="10" t="s">
        <v>55</v>
      </c>
    </row>
    <row r="6" spans="1:9" x14ac:dyDescent="0.2">
      <c r="A6" s="3" t="s">
        <v>56</v>
      </c>
      <c r="B6" s="1">
        <v>7441</v>
      </c>
      <c r="C6" s="1">
        <v>9860</v>
      </c>
      <c r="D6" s="1">
        <v>7464</v>
      </c>
      <c r="E6" s="1">
        <f>'03-CFS'!E32</f>
        <v>8569.7667612500027</v>
      </c>
      <c r="F6" s="1">
        <f>'03-CFS'!F32</f>
        <v>9914.8734235125012</v>
      </c>
    </row>
    <row r="7" spans="1:9" x14ac:dyDescent="0.2">
      <c r="A7" s="3" t="s">
        <v>153</v>
      </c>
      <c r="B7" s="1">
        <v>3234</v>
      </c>
      <c r="C7" s="1">
        <v>1722</v>
      </c>
      <c r="D7" s="1">
        <v>1687</v>
      </c>
      <c r="E7" s="1">
        <f>D7</f>
        <v>1687</v>
      </c>
      <c r="F7" s="1">
        <f>E7</f>
        <v>1687</v>
      </c>
    </row>
    <row r="8" spans="1:9" x14ac:dyDescent="0.2">
      <c r="A8" s="3" t="s">
        <v>57</v>
      </c>
      <c r="B8" s="1">
        <v>4131</v>
      </c>
      <c r="C8" s="1">
        <v>4427</v>
      </c>
      <c r="D8" s="1">
        <v>4717</v>
      </c>
      <c r="E8" s="1">
        <f t="shared" ref="E8:F10" si="0">D8</f>
        <v>4717</v>
      </c>
      <c r="F8" s="1">
        <f t="shared" si="0"/>
        <v>4717</v>
      </c>
    </row>
    <row r="9" spans="1:9" x14ac:dyDescent="0.2">
      <c r="A9" s="3" t="s">
        <v>58</v>
      </c>
      <c r="B9" s="1">
        <v>8454</v>
      </c>
      <c r="C9" s="1">
        <v>7519</v>
      </c>
      <c r="D9" s="1">
        <v>7489</v>
      </c>
      <c r="E9" s="1">
        <f t="shared" si="0"/>
        <v>7489</v>
      </c>
      <c r="F9" s="1">
        <f t="shared" si="0"/>
        <v>7489</v>
      </c>
    </row>
    <row r="10" spans="1:9" x14ac:dyDescent="0.2">
      <c r="A10" s="3" t="s">
        <v>59</v>
      </c>
      <c r="B10" s="1">
        <v>1942</v>
      </c>
      <c r="C10" s="1">
        <v>1854</v>
      </c>
      <c r="D10" s="1">
        <v>2005</v>
      </c>
      <c r="E10" s="1">
        <f t="shared" si="0"/>
        <v>2005</v>
      </c>
      <c r="F10" s="1">
        <f t="shared" si="0"/>
        <v>2005</v>
      </c>
    </row>
    <row r="11" spans="1:9" s="7" customFormat="1" x14ac:dyDescent="0.2">
      <c r="A11" s="8" t="s">
        <v>60</v>
      </c>
      <c r="B11" s="42">
        <f>SUM(B6:B10)</f>
        <v>25202</v>
      </c>
      <c r="C11" s="42">
        <f t="shared" ref="C11:F11" si="1">SUM(C6:C10)</f>
        <v>25382</v>
      </c>
      <c r="D11" s="42">
        <f t="shared" si="1"/>
        <v>23362</v>
      </c>
      <c r="E11" s="42">
        <f t="shared" si="1"/>
        <v>24467.766761250001</v>
      </c>
      <c r="F11" s="42">
        <f t="shared" si="1"/>
        <v>25812.873423512501</v>
      </c>
    </row>
    <row r="12" spans="1:9" x14ac:dyDescent="0.2">
      <c r="A12" s="3"/>
      <c r="B12" s="1"/>
      <c r="C12" s="1"/>
      <c r="D12" s="1"/>
    </row>
    <row r="13" spans="1:9" x14ac:dyDescent="0.2">
      <c r="A13" s="10" t="s">
        <v>61</v>
      </c>
      <c r="B13" s="1"/>
      <c r="C13" s="1"/>
      <c r="D13" s="1"/>
    </row>
    <row r="14" spans="1:9" x14ac:dyDescent="0.2">
      <c r="A14" s="3" t="s">
        <v>62</v>
      </c>
      <c r="B14" s="1">
        <v>5081</v>
      </c>
      <c r="C14" s="1">
        <v>5000</v>
      </c>
      <c r="D14" s="1">
        <v>4828</v>
      </c>
      <c r="E14" s="1">
        <f>D14</f>
        <v>4828</v>
      </c>
      <c r="F14" s="1">
        <f>E14</f>
        <v>4828</v>
      </c>
    </row>
    <row r="15" spans="1:9" x14ac:dyDescent="0.2">
      <c r="A15" s="3" t="s">
        <v>63</v>
      </c>
      <c r="B15" s="1">
        <v>2923</v>
      </c>
      <c r="C15" s="1">
        <v>2718</v>
      </c>
      <c r="D15" s="1">
        <v>2712</v>
      </c>
      <c r="E15" s="1">
        <f>D15</f>
        <v>2712</v>
      </c>
      <c r="F15" s="1">
        <f>E15</f>
        <v>2712</v>
      </c>
    </row>
    <row r="16" spans="1:9" x14ac:dyDescent="0.2">
      <c r="A16" s="3" t="s">
        <v>64</v>
      </c>
      <c r="B16" s="1">
        <v>555</v>
      </c>
      <c r="C16" s="1">
        <v>499</v>
      </c>
      <c r="D16" s="1">
        <v>499</v>
      </c>
      <c r="E16" s="1">
        <f t="shared" ref="E16:F17" si="2">D16</f>
        <v>499</v>
      </c>
      <c r="F16" s="1">
        <f t="shared" si="2"/>
        <v>499</v>
      </c>
    </row>
    <row r="17" spans="1:9" x14ac:dyDescent="0.2">
      <c r="A17" s="3" t="s">
        <v>65</v>
      </c>
      <c r="B17" s="1">
        <v>3770</v>
      </c>
      <c r="C17" s="1">
        <v>4511</v>
      </c>
      <c r="D17" s="1">
        <v>5178</v>
      </c>
      <c r="E17" s="1">
        <f t="shared" si="2"/>
        <v>5178</v>
      </c>
      <c r="F17" s="1">
        <f t="shared" si="2"/>
        <v>5178</v>
      </c>
    </row>
    <row r="18" spans="1:9" s="7" customFormat="1" x14ac:dyDescent="0.2">
      <c r="A18" s="8" t="s">
        <v>66</v>
      </c>
      <c r="B18" s="42">
        <f>SUM(B14:B17)</f>
        <v>12329</v>
      </c>
      <c r="C18" s="42">
        <f t="shared" ref="C18:F18" si="3">SUM(C14:C17)</f>
        <v>12728</v>
      </c>
      <c r="D18" s="42">
        <f t="shared" si="3"/>
        <v>13217</v>
      </c>
      <c r="E18" s="42">
        <f t="shared" si="3"/>
        <v>13217</v>
      </c>
      <c r="F18" s="42">
        <f t="shared" si="3"/>
        <v>13217</v>
      </c>
    </row>
    <row r="19" spans="1:9" s="7" customFormat="1" ht="17" thickBot="1" x14ac:dyDescent="0.25">
      <c r="A19" s="49" t="s">
        <v>67</v>
      </c>
      <c r="B19" s="48">
        <f>B11+B18</f>
        <v>37531</v>
      </c>
      <c r="C19" s="48">
        <f t="shared" ref="C19:F19" si="4">C11+C18</f>
        <v>38110</v>
      </c>
      <c r="D19" s="48">
        <f t="shared" si="4"/>
        <v>36579</v>
      </c>
      <c r="E19" s="48">
        <f t="shared" si="4"/>
        <v>37684.766761250001</v>
      </c>
      <c r="F19" s="48">
        <f t="shared" si="4"/>
        <v>39029.873423512501</v>
      </c>
      <c r="H19" s="47">
        <f>IFERROR((C19-B19)/B19,"-")</f>
        <v>1.5427246809304308E-2</v>
      </c>
      <c r="I19" s="47">
        <f>IFERROR((D19-C19)/C19,"-")</f>
        <v>-4.0173182891629494E-2</v>
      </c>
    </row>
    <row r="20" spans="1:9" ht="17" thickTop="1" x14ac:dyDescent="0.2">
      <c r="A20" s="3"/>
      <c r="B20" s="1"/>
      <c r="C20" s="1"/>
      <c r="D20" s="1"/>
      <c r="H20" s="2"/>
      <c r="I20" s="2"/>
    </row>
    <row r="21" spans="1:9" x14ac:dyDescent="0.2">
      <c r="A21" s="10" t="s">
        <v>68</v>
      </c>
      <c r="B21" s="1"/>
      <c r="C21" s="1"/>
      <c r="D21" s="1"/>
      <c r="H21" s="2"/>
      <c r="I21" s="2"/>
    </row>
    <row r="22" spans="1:9" x14ac:dyDescent="0.2">
      <c r="A22" s="10" t="s">
        <v>69</v>
      </c>
      <c r="B22" s="1"/>
      <c r="C22" s="1"/>
      <c r="D22" s="1"/>
      <c r="H22" s="2"/>
      <c r="I22" s="2"/>
    </row>
    <row r="23" spans="1:9" x14ac:dyDescent="0.2">
      <c r="A23" s="3" t="s">
        <v>70</v>
      </c>
      <c r="B23" s="1">
        <v>2862</v>
      </c>
      <c r="C23" s="1">
        <v>2851</v>
      </c>
      <c r="D23" s="1">
        <v>3479</v>
      </c>
      <c r="E23" s="1">
        <f>D23</f>
        <v>3479</v>
      </c>
      <c r="F23" s="1">
        <f>E23</f>
        <v>3479</v>
      </c>
      <c r="H23" s="2"/>
      <c r="I23" s="2"/>
    </row>
    <row r="24" spans="1:9" x14ac:dyDescent="0.2">
      <c r="A24" s="3" t="s">
        <v>154</v>
      </c>
      <c r="B24" s="1">
        <v>6</v>
      </c>
      <c r="C24" s="1">
        <v>6</v>
      </c>
      <c r="D24" s="1">
        <v>5</v>
      </c>
      <c r="E24" s="1">
        <f t="shared" ref="E24:F24" si="5">D24</f>
        <v>5</v>
      </c>
      <c r="F24" s="1">
        <f t="shared" si="5"/>
        <v>5</v>
      </c>
      <c r="H24" s="2"/>
      <c r="I24" s="2"/>
    </row>
    <row r="25" spans="1:9" x14ac:dyDescent="0.2">
      <c r="A25" s="3" t="s">
        <v>155</v>
      </c>
      <c r="B25" s="1">
        <v>240</v>
      </c>
      <c r="C25" s="1">
        <v>534</v>
      </c>
      <c r="D25" s="1">
        <v>669</v>
      </c>
      <c r="E25" s="1">
        <f t="shared" ref="E25:F25" si="6">D25</f>
        <v>669</v>
      </c>
      <c r="F25" s="1">
        <f t="shared" si="6"/>
        <v>669</v>
      </c>
      <c r="H25" s="2"/>
      <c r="I25" s="2"/>
    </row>
    <row r="26" spans="1:9" x14ac:dyDescent="0.2">
      <c r="A26" s="3" t="s">
        <v>71</v>
      </c>
      <c r="B26" s="1">
        <v>5723</v>
      </c>
      <c r="C26" s="1">
        <v>5725</v>
      </c>
      <c r="D26" s="1">
        <v>5911</v>
      </c>
      <c r="E26" s="1">
        <f t="shared" ref="E26:F26" si="7">D26</f>
        <v>5911</v>
      </c>
      <c r="F26" s="1">
        <f t="shared" si="7"/>
        <v>5911</v>
      </c>
      <c r="H26" s="2"/>
      <c r="I26" s="2"/>
    </row>
    <row r="27" spans="1:9" x14ac:dyDescent="0.2">
      <c r="A27" s="3" t="s">
        <v>72</v>
      </c>
      <c r="B27" s="1">
        <v>0</v>
      </c>
      <c r="C27" s="1">
        <v>1000</v>
      </c>
      <c r="D27" s="1">
        <v>0</v>
      </c>
      <c r="E27" s="1">
        <f t="shared" ref="E27:F27" si="8">D27</f>
        <v>0</v>
      </c>
      <c r="F27" s="1">
        <f t="shared" si="8"/>
        <v>0</v>
      </c>
      <c r="H27" s="2"/>
      <c r="I27" s="2"/>
    </row>
    <row r="28" spans="1:9" x14ac:dyDescent="0.2">
      <c r="A28" s="3" t="s">
        <v>73</v>
      </c>
      <c r="B28" s="1">
        <v>425</v>
      </c>
      <c r="C28" s="1">
        <v>477</v>
      </c>
      <c r="D28" s="1">
        <v>502</v>
      </c>
      <c r="E28" s="1">
        <f t="shared" ref="E28:F28" si="9">D28</f>
        <v>502</v>
      </c>
      <c r="F28" s="1">
        <f t="shared" si="9"/>
        <v>502</v>
      </c>
      <c r="H28" s="2"/>
      <c r="I28" s="2"/>
    </row>
    <row r="29" spans="1:9" s="7" customFormat="1" x14ac:dyDescent="0.2">
      <c r="A29" s="8" t="s">
        <v>74</v>
      </c>
      <c r="B29" s="42">
        <f>SUM(B23:B28)</f>
        <v>9256</v>
      </c>
      <c r="C29" s="42">
        <f t="shared" ref="C29:F29" si="10">SUM(C23:C28)</f>
        <v>10593</v>
      </c>
      <c r="D29" s="42">
        <f t="shared" si="10"/>
        <v>10566</v>
      </c>
      <c r="E29" s="42">
        <f t="shared" si="10"/>
        <v>10566</v>
      </c>
      <c r="F29" s="42">
        <f t="shared" si="10"/>
        <v>10566</v>
      </c>
      <c r="H29" s="46">
        <f>IFERROR((C29-B29)/B29,"-")</f>
        <v>0.14444684528954191</v>
      </c>
      <c r="I29" s="46">
        <f>IFERROR((D29-C29)/C29,"-")</f>
        <v>-2.5488530161427358E-3</v>
      </c>
    </row>
    <row r="30" spans="1:9" x14ac:dyDescent="0.2">
      <c r="A30" s="3"/>
      <c r="B30" s="1"/>
      <c r="C30" s="1"/>
      <c r="D30" s="1"/>
      <c r="H30" s="2"/>
      <c r="I30" s="2"/>
    </row>
    <row r="31" spans="1:9" x14ac:dyDescent="0.2">
      <c r="A31" s="10" t="s">
        <v>75</v>
      </c>
      <c r="B31" s="1"/>
      <c r="C31" s="1"/>
      <c r="D31" s="1"/>
      <c r="H31" s="2"/>
      <c r="I31" s="2"/>
    </row>
    <row r="32" spans="1:9" x14ac:dyDescent="0.2">
      <c r="A32" s="3" t="s">
        <v>76</v>
      </c>
      <c r="B32" s="1">
        <v>8927</v>
      </c>
      <c r="C32" s="1">
        <v>7903</v>
      </c>
      <c r="D32" s="1">
        <v>7961</v>
      </c>
      <c r="E32" s="1">
        <f>D32+'03-CFS'!E25</f>
        <v>7961</v>
      </c>
      <c r="F32" s="1">
        <f>E32+'03-CFS'!F25</f>
        <v>7461</v>
      </c>
      <c r="H32" s="2"/>
      <c r="I32" s="2"/>
    </row>
    <row r="33" spans="1:9" x14ac:dyDescent="0.2">
      <c r="A33" s="3" t="s">
        <v>77</v>
      </c>
      <c r="B33" s="1">
        <v>2786</v>
      </c>
      <c r="C33" s="1">
        <v>2566</v>
      </c>
      <c r="D33" s="1">
        <v>2550</v>
      </c>
      <c r="E33" s="1">
        <f>D33</f>
        <v>2550</v>
      </c>
      <c r="F33" s="1">
        <f>E33</f>
        <v>2550</v>
      </c>
      <c r="H33" s="2"/>
      <c r="I33" s="2"/>
    </row>
    <row r="34" spans="1:9" x14ac:dyDescent="0.2">
      <c r="A34" s="3" t="s">
        <v>78</v>
      </c>
      <c r="B34" s="1">
        <v>2558</v>
      </c>
      <c r="C34" s="1">
        <v>2618</v>
      </c>
      <c r="D34" s="1">
        <v>2289</v>
      </c>
      <c r="E34" s="1">
        <f>D34</f>
        <v>2289</v>
      </c>
      <c r="F34" s="1">
        <f>E34</f>
        <v>2289</v>
      </c>
      <c r="H34" s="2"/>
      <c r="I34" s="2"/>
    </row>
    <row r="35" spans="1:9" x14ac:dyDescent="0.2">
      <c r="A35" s="8" t="s">
        <v>79</v>
      </c>
      <c r="B35" s="42">
        <f>SUM(B32:B34)</f>
        <v>14271</v>
      </c>
      <c r="C35" s="42">
        <f t="shared" ref="C35:F35" si="11">SUM(C32:C34)</f>
        <v>13087</v>
      </c>
      <c r="D35" s="42">
        <f t="shared" si="11"/>
        <v>12800</v>
      </c>
      <c r="E35" s="42">
        <f t="shared" si="11"/>
        <v>12800</v>
      </c>
      <c r="F35" s="42">
        <f t="shared" si="11"/>
        <v>12300</v>
      </c>
      <c r="H35" s="2"/>
      <c r="I35" s="2"/>
    </row>
    <row r="36" spans="1:9" s="7" customFormat="1" x14ac:dyDescent="0.2">
      <c r="A36" s="8" t="s">
        <v>80</v>
      </c>
      <c r="B36" s="42">
        <f>B29+B35</f>
        <v>23527</v>
      </c>
      <c r="C36" s="42">
        <f t="shared" ref="C36:F36" si="12">C29+C35</f>
        <v>23680</v>
      </c>
      <c r="D36" s="42">
        <f t="shared" si="12"/>
        <v>23366</v>
      </c>
      <c r="E36" s="42">
        <f t="shared" si="12"/>
        <v>23366</v>
      </c>
      <c r="F36" s="42">
        <f t="shared" si="12"/>
        <v>22866</v>
      </c>
      <c r="H36" s="46">
        <f>IFERROR((C36-B36)/B36,"-")</f>
        <v>6.503166574573894E-3</v>
      </c>
      <c r="I36" s="46">
        <f>IFERROR((D36-C36)/C36,"-")</f>
        <v>-1.3260135135135135E-2</v>
      </c>
    </row>
    <row r="37" spans="1:9" x14ac:dyDescent="0.2">
      <c r="A37" s="3"/>
      <c r="B37" s="1"/>
      <c r="C37" s="1"/>
      <c r="D37" s="1"/>
      <c r="H37" s="2"/>
      <c r="I37" s="2"/>
    </row>
    <row r="38" spans="1:9" x14ac:dyDescent="0.2">
      <c r="A38" s="10" t="s">
        <v>81</v>
      </c>
      <c r="B38" s="1"/>
      <c r="C38" s="1"/>
      <c r="D38" s="1"/>
      <c r="H38" s="2"/>
      <c r="I38" s="2"/>
    </row>
    <row r="39" spans="1:9" x14ac:dyDescent="0.2">
      <c r="A39" s="3" t="s">
        <v>82</v>
      </c>
      <c r="B39" s="1">
        <v>12415</v>
      </c>
      <c r="C39" s="1">
        <v>13412</v>
      </c>
      <c r="D39" s="1">
        <v>14198</v>
      </c>
      <c r="E39" s="1">
        <f>D39</f>
        <v>14198</v>
      </c>
      <c r="F39" s="1">
        <f>E39</f>
        <v>14198</v>
      </c>
      <c r="H39" s="2"/>
      <c r="I39" s="2"/>
    </row>
    <row r="40" spans="1:9" x14ac:dyDescent="0.2">
      <c r="A40" s="3" t="s">
        <v>83</v>
      </c>
      <c r="B40" s="1">
        <v>1358</v>
      </c>
      <c r="C40" s="1">
        <v>965</v>
      </c>
      <c r="D40" s="1">
        <v>-727</v>
      </c>
      <c r="E40" s="1">
        <f>D40+'02-IS'!J24+'03-CFS'!E23+'03-CFS'!E24</f>
        <v>197.64011125000343</v>
      </c>
      <c r="F40" s="1">
        <f>E40+'02-IS'!K24+'03-CFS'!F23+'03-CFS'!F24</f>
        <v>1820.8030965125017</v>
      </c>
      <c r="H40" s="2"/>
      <c r="I40" s="2"/>
    </row>
    <row r="41" spans="1:9" x14ac:dyDescent="0.2">
      <c r="A41" s="3" t="s">
        <v>84</v>
      </c>
      <c r="B41" s="1">
        <v>231</v>
      </c>
      <c r="C41" s="1">
        <v>53</v>
      </c>
      <c r="D41" s="1">
        <v>-258</v>
      </c>
      <c r="E41" s="1">
        <f>D41</f>
        <v>-258</v>
      </c>
      <c r="F41" s="1">
        <f>E41</f>
        <v>-258</v>
      </c>
      <c r="H41" s="2"/>
      <c r="I41" s="2"/>
    </row>
    <row r="42" spans="1:9" s="7" customFormat="1" x14ac:dyDescent="0.2">
      <c r="A42" s="8" t="s">
        <v>85</v>
      </c>
      <c r="B42" s="42">
        <f>SUM(B39:B41)</f>
        <v>14004</v>
      </c>
      <c r="C42" s="42">
        <f t="shared" ref="C42:F42" si="13">SUM(C39:C41)</f>
        <v>14430</v>
      </c>
      <c r="D42" s="42">
        <f t="shared" si="13"/>
        <v>13213</v>
      </c>
      <c r="E42" s="42">
        <f t="shared" si="13"/>
        <v>14137.640111250003</v>
      </c>
      <c r="F42" s="42">
        <f t="shared" si="13"/>
        <v>15760.803096512502</v>
      </c>
      <c r="H42" s="46">
        <f>IFERROR((C42-B42)/B42,"-")</f>
        <v>3.0419880034275922E-2</v>
      </c>
      <c r="I42" s="46">
        <f>IFERROR((D42-C42)/C42,"-")</f>
        <v>-8.4338184338184338E-2</v>
      </c>
    </row>
    <row r="43" spans="1:9" s="7" customFormat="1" ht="17" thickBot="1" x14ac:dyDescent="0.25">
      <c r="A43" s="49" t="s">
        <v>86</v>
      </c>
      <c r="B43" s="43">
        <f>B36+B42</f>
        <v>37531</v>
      </c>
      <c r="C43" s="43">
        <f t="shared" ref="C43:F43" si="14">C36+C42</f>
        <v>38110</v>
      </c>
      <c r="D43" s="43">
        <f t="shared" si="14"/>
        <v>36579</v>
      </c>
      <c r="E43" s="43">
        <f t="shared" si="14"/>
        <v>37503.640111250003</v>
      </c>
      <c r="F43" s="43">
        <f t="shared" si="14"/>
        <v>38626.8030965125</v>
      </c>
      <c r="H43" s="47">
        <f>IFERROR((C43-B43)/B43,"-")</f>
        <v>1.5427246809304308E-2</v>
      </c>
      <c r="I43" s="47">
        <f>IFERROR((D43-C43)/C43,"-")</f>
        <v>-4.0173182891629494E-2</v>
      </c>
    </row>
    <row r="44" spans="1:9" ht="17" thickTop="1" x14ac:dyDescent="0.2">
      <c r="A44" s="3"/>
      <c r="B44" s="1"/>
      <c r="C44" s="1"/>
      <c r="D44" s="1"/>
    </row>
    <row r="45" spans="1:9" x14ac:dyDescent="0.2">
      <c r="A45" s="10" t="s">
        <v>87</v>
      </c>
      <c r="B45" s="14">
        <f>B19-B43</f>
        <v>0</v>
      </c>
      <c r="C45" s="14">
        <f t="shared" ref="C45:F45" si="15">C19-C43</f>
        <v>0</v>
      </c>
      <c r="D45" s="14">
        <f t="shared" si="15"/>
        <v>0</v>
      </c>
      <c r="E45" s="14">
        <f t="shared" si="15"/>
        <v>181.12664999999834</v>
      </c>
      <c r="F45" s="14">
        <f t="shared" si="15"/>
        <v>403.07032700000127</v>
      </c>
    </row>
    <row r="48" spans="1:9" x14ac:dyDescent="0.2">
      <c r="A48" s="56" t="s">
        <v>211</v>
      </c>
    </row>
    <row r="49" spans="1:1" x14ac:dyDescent="0.2">
      <c r="A49" s="55" t="s">
        <v>212</v>
      </c>
    </row>
    <row r="50" spans="1:1" x14ac:dyDescent="0.2">
      <c r="A50" s="55" t="s">
        <v>213</v>
      </c>
    </row>
    <row r="51" spans="1:1" x14ac:dyDescent="0.2">
      <c r="A51" s="55" t="s">
        <v>214</v>
      </c>
    </row>
    <row r="52" spans="1:1" x14ac:dyDescent="0.2">
      <c r="A52" s="55" t="s">
        <v>215</v>
      </c>
    </row>
    <row r="53" spans="1:1" x14ac:dyDescent="0.2">
      <c r="A53" s="55" t="s">
        <v>216</v>
      </c>
    </row>
    <row r="54" spans="1:1" x14ac:dyDescent="0.2">
      <c r="A54" s="55" t="s">
        <v>217</v>
      </c>
    </row>
    <row r="55" spans="1:1" x14ac:dyDescent="0.2">
      <c r="A55" s="55" t="s">
        <v>218</v>
      </c>
    </row>
    <row r="56" spans="1:1" x14ac:dyDescent="0.2">
      <c r="A56" s="55" t="s">
        <v>219</v>
      </c>
    </row>
    <row r="57" spans="1:1" x14ac:dyDescent="0.2">
      <c r="A57" s="55" t="s">
        <v>220</v>
      </c>
    </row>
    <row r="58" spans="1:1" x14ac:dyDescent="0.2">
      <c r="A58" s="55" t="s">
        <v>221</v>
      </c>
    </row>
    <row r="59" spans="1:1" x14ac:dyDescent="0.2">
      <c r="A59" s="55" t="s">
        <v>222</v>
      </c>
    </row>
    <row r="60" spans="1:1" x14ac:dyDescent="0.2">
      <c r="A60" s="55" t="s">
        <v>223</v>
      </c>
    </row>
    <row r="61" spans="1:1" x14ac:dyDescent="0.2">
      <c r="A61" s="55" t="s">
        <v>224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9706-2069-8C4C-9F06-EE6AB3C48E6E}">
  <dimension ref="A1:G68"/>
  <sheetViews>
    <sheetView zoomScale="50" zoomScaleNormal="82" workbookViewId="0">
      <selection activeCell="G72" sqref="G72"/>
    </sheetView>
  </sheetViews>
  <sheetFormatPr baseColWidth="10" defaultRowHeight="16" x14ac:dyDescent="0.2"/>
  <cols>
    <col min="1" max="1" width="40.6640625" customWidth="1"/>
    <col min="2" max="2" width="14.83203125" customWidth="1"/>
    <col min="3" max="3" width="15" customWidth="1"/>
    <col min="4" max="4" width="13" customWidth="1"/>
    <col min="5" max="6" width="15.6640625" customWidth="1"/>
    <col min="7" max="7" width="21.33203125" bestFit="1" customWidth="1"/>
  </cols>
  <sheetData>
    <row r="1" spans="1:7" ht="18" x14ac:dyDescent="0.2">
      <c r="A1" s="34" t="s">
        <v>88</v>
      </c>
      <c r="B1" s="34"/>
      <c r="C1" s="34"/>
      <c r="D1" s="34"/>
      <c r="E1" s="34"/>
      <c r="F1" s="34"/>
      <c r="G1" s="34"/>
    </row>
    <row r="3" spans="1:7" x14ac:dyDescent="0.2">
      <c r="A3" s="4" t="s">
        <v>89</v>
      </c>
      <c r="B3" s="4" t="s">
        <v>2</v>
      </c>
      <c r="C3" s="4" t="s">
        <v>3</v>
      </c>
      <c r="D3" s="4" t="s">
        <v>4</v>
      </c>
      <c r="E3" s="4" t="s">
        <v>8</v>
      </c>
      <c r="F3" s="4" t="s">
        <v>9</v>
      </c>
      <c r="G3" s="4" t="s">
        <v>90</v>
      </c>
    </row>
    <row r="4" spans="1:7" x14ac:dyDescent="0.2">
      <c r="A4" s="15" t="s">
        <v>91</v>
      </c>
      <c r="B4" s="16"/>
      <c r="C4" s="16"/>
      <c r="D4" s="16"/>
      <c r="E4" s="16"/>
      <c r="F4" s="16"/>
      <c r="G4" s="16"/>
    </row>
    <row r="5" spans="1:7" x14ac:dyDescent="0.2">
      <c r="A5" s="3" t="s">
        <v>92</v>
      </c>
      <c r="B5" s="18">
        <f>IFERROR('02-IS'!B24/'02-IS'!B11,"-")</f>
        <v>9.8990569537458259E-2</v>
      </c>
      <c r="C5" s="18">
        <f>IFERROR('02-IS'!C24/'02-IS'!C11,"-")</f>
        <v>0.11097698687745804</v>
      </c>
      <c r="D5" s="18">
        <f>IFERROR('02-IS'!D24/'02-IS'!D11,"-")</f>
        <v>6.9511326092120324E-2</v>
      </c>
      <c r="E5" s="18">
        <f t="shared" ref="E5:F7" si="0">IFERROR((C5-B5)/ABS(B5),"-")</f>
        <v>0.1210864569827946</v>
      </c>
      <c r="F5" s="18">
        <f t="shared" si="0"/>
        <v>-0.37364197706254659</v>
      </c>
      <c r="G5" s="20" t="s">
        <v>105</v>
      </c>
    </row>
    <row r="6" spans="1:7" x14ac:dyDescent="0.2">
      <c r="A6" s="3" t="s">
        <v>93</v>
      </c>
      <c r="B6" s="18">
        <f>IFERROR('02-IS'!B13/'02-IS'!B11,"-")</f>
        <v>0.43524610969014194</v>
      </c>
      <c r="C6" s="18">
        <f>IFERROR('02-IS'!C13/'02-IS'!C11,"-")</f>
        <v>0.44560180678322497</v>
      </c>
      <c r="D6" s="18">
        <f>IFERROR('02-IS'!D13/'02-IS'!D11,"-")</f>
        <v>0.42734673605562634</v>
      </c>
      <c r="E6" s="18">
        <f t="shared" si="0"/>
        <v>2.3792739010247352E-2</v>
      </c>
      <c r="F6" s="18">
        <f t="shared" si="0"/>
        <v>-4.0967227802286052E-2</v>
      </c>
      <c r="G6" s="20" t="s">
        <v>106</v>
      </c>
    </row>
    <row r="7" spans="1:7" x14ac:dyDescent="0.2">
      <c r="A7" s="3" t="s">
        <v>94</v>
      </c>
      <c r="B7" s="18">
        <f>IFERROR('02-IS'!B19/'02-IS'!B11,"-")</f>
        <v>0.12921490911220884</v>
      </c>
      <c r="C7" s="18">
        <f>IFERROR('02-IS'!C19/'02-IS'!C11,"-")</f>
        <v>0.13837077995405164</v>
      </c>
      <c r="D7" s="18">
        <f>IFERROR('02-IS'!D19/'02-IS'!D11,"-")</f>
        <v>9.667667192122481E-2</v>
      </c>
      <c r="E7" s="18">
        <f t="shared" si="0"/>
        <v>7.0857696722070512E-2</v>
      </c>
      <c r="F7" s="18">
        <f t="shared" si="0"/>
        <v>-0.30132162329844542</v>
      </c>
      <c r="G7" s="20" t="s">
        <v>107</v>
      </c>
    </row>
    <row r="8" spans="1:7" x14ac:dyDescent="0.2">
      <c r="A8" s="3" t="s">
        <v>95</v>
      </c>
      <c r="B8" s="18" t="s">
        <v>104</v>
      </c>
      <c r="C8" s="18">
        <f>IFERROR(('02-IS'!C11-'02-IS'!B11)/'02-IS'!B11,"-")</f>
        <v>2.8310912392369722E-3</v>
      </c>
      <c r="D8" s="18">
        <f>IFERROR(('02-IS'!D11-'02-IS'!C11)/'02-IS'!C11,"-")</f>
        <v>-9.8380125384525521E-2</v>
      </c>
      <c r="E8" s="2"/>
      <c r="F8" s="2"/>
      <c r="G8" s="20" t="s">
        <v>108</v>
      </c>
    </row>
    <row r="9" spans="1:7" x14ac:dyDescent="0.2">
      <c r="A9" s="3"/>
      <c r="E9" s="2"/>
      <c r="F9" s="2"/>
      <c r="G9" s="3"/>
    </row>
    <row r="10" spans="1:7" x14ac:dyDescent="0.2">
      <c r="A10" s="15" t="s">
        <v>96</v>
      </c>
      <c r="B10" s="16"/>
      <c r="C10" s="16"/>
      <c r="D10" s="16"/>
      <c r="E10" s="50"/>
      <c r="F10" s="50"/>
      <c r="G10" s="17"/>
    </row>
    <row r="11" spans="1:7" x14ac:dyDescent="0.2">
      <c r="A11" s="3" t="s">
        <v>97</v>
      </c>
      <c r="B11" s="18">
        <f>IFERROR('02-IS'!B24/'04-BS'!B42,"-")</f>
        <v>0.36203941730934019</v>
      </c>
      <c r="C11" s="18">
        <f>IFERROR('02-IS'!C24/'04-BS'!C42,"-")</f>
        <v>0.39501039501039503</v>
      </c>
      <c r="D11" s="18">
        <f>IFERROR('02-IS'!D24/'04-BS'!D42,"-")</f>
        <v>0.24362370392794974</v>
      </c>
      <c r="E11" s="18">
        <f t="shared" ref="E11:F13" si="1">IFERROR((C11-B11)/ABS(B11),"-")</f>
        <v>9.107013249025088E-2</v>
      </c>
      <c r="F11" s="18">
        <f t="shared" si="1"/>
        <v>-0.38324736005608517</v>
      </c>
      <c r="G11" s="20" t="s">
        <v>109</v>
      </c>
    </row>
    <row r="12" spans="1:7" x14ac:dyDescent="0.2">
      <c r="A12" s="3" t="s">
        <v>98</v>
      </c>
      <c r="B12" s="19">
        <f>IFERROR('04-BS'!B32/'02-IS'!B19,"-")</f>
        <v>1.3488969477183439</v>
      </c>
      <c r="C12" s="19">
        <f>IFERROR('04-BS'!C32/'02-IS'!C19,"-")</f>
        <v>1.1120022513015337</v>
      </c>
      <c r="D12" s="19">
        <f>IFERROR('04-BS'!D32/'02-IS'!D19,"-")</f>
        <v>1.7781996872905963</v>
      </c>
      <c r="E12" s="18">
        <f t="shared" si="1"/>
        <v>-0.17562104860383662</v>
      </c>
      <c r="F12" s="18">
        <f t="shared" si="1"/>
        <v>0.5990972007559493</v>
      </c>
      <c r="G12" s="20" t="s">
        <v>110</v>
      </c>
    </row>
    <row r="13" spans="1:7" x14ac:dyDescent="0.2">
      <c r="A13" s="3" t="s">
        <v>99</v>
      </c>
      <c r="B13" s="19">
        <f>IFERROR('04-BS'!B11/'04-BS'!B29,"-")</f>
        <v>2.7227744165946413</v>
      </c>
      <c r="C13" s="19">
        <f>IFERROR('04-BS'!C11/'04-BS'!C29,"-")</f>
        <v>2.3961106391012934</v>
      </c>
      <c r="D13" s="19">
        <f>IFERROR('04-BS'!D11/'04-BS'!D29,"-")</f>
        <v>2.2110543251940187</v>
      </c>
      <c r="E13" s="18">
        <f t="shared" si="1"/>
        <v>-0.11997460219341433</v>
      </c>
      <c r="F13" s="18">
        <f t="shared" si="1"/>
        <v>-7.7231957025441694E-2</v>
      </c>
      <c r="G13" s="20" t="s">
        <v>111</v>
      </c>
    </row>
    <row r="14" spans="1:7" x14ac:dyDescent="0.2">
      <c r="A14" s="3"/>
      <c r="E14" s="2"/>
      <c r="F14" s="2"/>
      <c r="G14" s="3"/>
    </row>
    <row r="15" spans="1:7" x14ac:dyDescent="0.2">
      <c r="A15" s="15" t="s">
        <v>100</v>
      </c>
      <c r="B15" s="16"/>
      <c r="C15" s="16"/>
      <c r="D15" s="16"/>
      <c r="E15" s="50"/>
      <c r="F15" s="50"/>
      <c r="G15" s="17"/>
    </row>
    <row r="16" spans="1:7" x14ac:dyDescent="0.2">
      <c r="A16" s="3" t="s">
        <v>101</v>
      </c>
      <c r="B16" s="33">
        <f>'03-CFS'!B34</f>
        <v>4872</v>
      </c>
      <c r="C16" s="33">
        <f>'03-CFS'!C34</f>
        <v>6617</v>
      </c>
      <c r="D16" s="33">
        <f>'03-CFS'!D34</f>
        <v>3268</v>
      </c>
      <c r="E16" s="18">
        <f t="shared" ref="E16:F18" si="2">IFERROR((C16-B16)/ABS(B16),"-")</f>
        <v>0.35816912972085385</v>
      </c>
      <c r="F16" s="18">
        <f t="shared" si="2"/>
        <v>-0.50612059845851598</v>
      </c>
      <c r="G16" s="20" t="s">
        <v>112</v>
      </c>
    </row>
    <row r="17" spans="1:7" x14ac:dyDescent="0.2">
      <c r="A17" s="3" t="s">
        <v>102</v>
      </c>
      <c r="B17" s="18">
        <f>IFERROR('03-CFS'!B34/'02-IS'!B11,"-")</f>
        <v>9.5124665638362263E-2</v>
      </c>
      <c r="C17" s="18">
        <f>IFERROR('03-CFS'!C34/'02-IS'!C11,"-")</f>
        <v>0.12883065301195437</v>
      </c>
      <c r="D17" s="18">
        <f>IFERROR('03-CFS'!D34/'02-IS'!D11,"-")</f>
        <v>7.0569435746831069E-2</v>
      </c>
      <c r="E17" s="18">
        <f t="shared" si="2"/>
        <v>0.35433488409549818</v>
      </c>
      <c r="F17" s="18">
        <f t="shared" si="2"/>
        <v>-0.45223101725423348</v>
      </c>
      <c r="G17" s="20" t="s">
        <v>113</v>
      </c>
    </row>
    <row r="18" spans="1:7" x14ac:dyDescent="0.2">
      <c r="A18" s="3" t="s">
        <v>103</v>
      </c>
      <c r="B18" s="18">
        <f>IFERROR('03-CFS'!B17/'02-IS'!B11,"-")</f>
        <v>-1.8919499384969833E-2</v>
      </c>
      <c r="C18" s="18">
        <f>IFERROR('03-CFS'!C17/'02-IS'!C11,"-")</f>
        <v>-1.5809353218332621E-2</v>
      </c>
      <c r="D18" s="18">
        <f>IFERROR('03-CFS'!D17/'02-IS'!D11,"-")</f>
        <v>-9.2854520719514565E-3</v>
      </c>
      <c r="E18" s="18">
        <f t="shared" si="2"/>
        <v>0.1643883965084191</v>
      </c>
      <c r="F18" s="18">
        <f t="shared" si="2"/>
        <v>0.41266085059166174</v>
      </c>
      <c r="G18" s="20" t="s">
        <v>156</v>
      </c>
    </row>
    <row r="19" spans="1:7" x14ac:dyDescent="0.2">
      <c r="G19" s="3"/>
    </row>
    <row r="22" spans="1:7" x14ac:dyDescent="0.2">
      <c r="A22" s="4" t="s">
        <v>157</v>
      </c>
      <c r="B22" s="4" t="s">
        <v>2</v>
      </c>
      <c r="C22" s="4" t="s">
        <v>3</v>
      </c>
      <c r="D22" s="4" t="s">
        <v>4</v>
      </c>
    </row>
    <row r="23" spans="1:7" x14ac:dyDescent="0.2">
      <c r="A23" t="s">
        <v>10</v>
      </c>
      <c r="B23" s="1">
        <f>'02-IS'!B4</f>
        <v>21608</v>
      </c>
      <c r="C23" s="1">
        <f>'02-IS'!C4</f>
        <v>21396</v>
      </c>
      <c r="D23" s="1">
        <f>'02-IS'!D4</f>
        <v>19572</v>
      </c>
    </row>
    <row r="24" spans="1:7" x14ac:dyDescent="0.2">
      <c r="A24" t="s">
        <v>158</v>
      </c>
      <c r="B24" s="1">
        <f>'02-IS'!B5</f>
        <v>13418</v>
      </c>
      <c r="C24" s="1">
        <f>'02-IS'!C5</f>
        <v>13607</v>
      </c>
      <c r="D24" s="1">
        <f>'02-IS'!D5</f>
        <v>12257</v>
      </c>
    </row>
    <row r="25" spans="1:7" x14ac:dyDescent="0.2">
      <c r="A25" t="s">
        <v>159</v>
      </c>
      <c r="B25" s="1">
        <f>'02-IS'!B6</f>
        <v>6431</v>
      </c>
      <c r="C25" s="1">
        <f>'02-IS'!C6</f>
        <v>6729</v>
      </c>
      <c r="D25" s="1">
        <f>'02-IS'!D6</f>
        <v>6251</v>
      </c>
    </row>
    <row r="26" spans="1:7" x14ac:dyDescent="0.2">
      <c r="A26" t="s">
        <v>147</v>
      </c>
      <c r="B26" s="1">
        <f>'02-IS'!B7</f>
        <v>7248</v>
      </c>
      <c r="C26" s="1">
        <f>'02-IS'!C7</f>
        <v>7545</v>
      </c>
      <c r="D26" s="1">
        <f>'02-IS'!D7</f>
        <v>6586</v>
      </c>
    </row>
    <row r="27" spans="1:7" x14ac:dyDescent="0.2">
      <c r="A27" t="s">
        <v>148</v>
      </c>
      <c r="B27" s="1">
        <f>'02-IS'!B8</f>
        <v>2427</v>
      </c>
      <c r="C27" s="1">
        <f>'02-IS'!C8</f>
        <v>2082</v>
      </c>
      <c r="D27" s="1">
        <f>'02-IS'!D8</f>
        <v>1692</v>
      </c>
    </row>
    <row r="30" spans="1:7" x14ac:dyDescent="0.2">
      <c r="A30" s="4" t="s">
        <v>162</v>
      </c>
      <c r="B30" s="4" t="s">
        <v>2</v>
      </c>
      <c r="C30" s="4" t="s">
        <v>3</v>
      </c>
      <c r="D30" s="4" t="s">
        <v>4</v>
      </c>
    </row>
    <row r="31" spans="1:7" x14ac:dyDescent="0.2">
      <c r="A31" t="s">
        <v>126</v>
      </c>
      <c r="B31" s="2">
        <f>'05-DASH'!B6</f>
        <v>0.43524610969014194</v>
      </c>
      <c r="C31" s="2">
        <f>'05-DASH'!C6</f>
        <v>0.44560180678322497</v>
      </c>
      <c r="D31" s="2">
        <f>'05-DASH'!D6</f>
        <v>0.42734673605562634</v>
      </c>
    </row>
    <row r="32" spans="1:7" x14ac:dyDescent="0.2">
      <c r="A32" t="s">
        <v>163</v>
      </c>
      <c r="B32" s="2">
        <f>'05-DASH'!B7</f>
        <v>0.12921490911220884</v>
      </c>
      <c r="C32" s="2">
        <f>'05-DASH'!C7</f>
        <v>0.13837077995405164</v>
      </c>
      <c r="D32" s="2">
        <f>'05-DASH'!D7</f>
        <v>9.667667192122481E-2</v>
      </c>
    </row>
    <row r="33" spans="1:6" x14ac:dyDescent="0.2">
      <c r="A33" t="s">
        <v>164</v>
      </c>
      <c r="B33" s="2">
        <f>'05-DASH'!B5</f>
        <v>9.8990569537458259E-2</v>
      </c>
      <c r="C33" s="2">
        <f>'05-DASH'!C5</f>
        <v>0.11097698687745804</v>
      </c>
      <c r="D33" s="2">
        <f>'05-DASH'!D5</f>
        <v>6.9511326092120324E-2</v>
      </c>
    </row>
    <row r="36" spans="1:6" x14ac:dyDescent="0.2">
      <c r="A36" s="4" t="s">
        <v>162</v>
      </c>
      <c r="B36" s="4" t="s">
        <v>2</v>
      </c>
      <c r="C36" s="4" t="s">
        <v>3</v>
      </c>
      <c r="D36" s="4" t="s">
        <v>4</v>
      </c>
    </row>
    <row r="37" spans="1:6" x14ac:dyDescent="0.2">
      <c r="A37" t="s">
        <v>165</v>
      </c>
      <c r="B37" s="1">
        <f>'05-DASH'!B16</f>
        <v>4872</v>
      </c>
      <c r="C37" s="1">
        <f>'05-DASH'!C16</f>
        <v>6617</v>
      </c>
      <c r="D37" s="1">
        <f>'05-DASH'!D16</f>
        <v>3268</v>
      </c>
    </row>
    <row r="38" spans="1:6" x14ac:dyDescent="0.2">
      <c r="A38" t="s">
        <v>166</v>
      </c>
      <c r="B38">
        <f>'03-CFS'!B17</f>
        <v>-969</v>
      </c>
      <c r="C38">
        <f>'03-CFS'!C17</f>
        <v>-812</v>
      </c>
      <c r="D38">
        <f>'03-CFS'!D17</f>
        <v>-430</v>
      </c>
    </row>
    <row r="41" spans="1:6" x14ac:dyDescent="0.2">
      <c r="A41" s="4" t="s">
        <v>89</v>
      </c>
      <c r="B41" s="4" t="s">
        <v>2</v>
      </c>
      <c r="C41" s="4" t="s">
        <v>3</v>
      </c>
      <c r="D41" s="4" t="s">
        <v>4</v>
      </c>
    </row>
    <row r="42" spans="1:6" x14ac:dyDescent="0.2">
      <c r="A42" t="s">
        <v>167</v>
      </c>
      <c r="B42" s="2">
        <f>'05-DASH'!B11</f>
        <v>0.36203941730934019</v>
      </c>
      <c r="C42" s="2">
        <f>'05-DASH'!C11</f>
        <v>0.39501039501039503</v>
      </c>
      <c r="D42" s="2">
        <f>'05-DASH'!D11</f>
        <v>0.24362370392794974</v>
      </c>
    </row>
    <row r="43" spans="1:6" x14ac:dyDescent="0.2">
      <c r="A43" t="s">
        <v>168</v>
      </c>
      <c r="B43" s="54">
        <f>'05-DASH'!B13</f>
        <v>2.7227744165946413</v>
      </c>
      <c r="C43" s="54">
        <f>'05-DASH'!C13</f>
        <v>2.3961106391012934</v>
      </c>
      <c r="D43" s="54">
        <f>'05-DASH'!D13</f>
        <v>2.2110543251940187</v>
      </c>
    </row>
    <row r="44" spans="1:6" x14ac:dyDescent="0.2">
      <c r="A44" t="s">
        <v>169</v>
      </c>
      <c r="B44" s="54">
        <f>'05-DASH'!B12</f>
        <v>1.3488969477183439</v>
      </c>
      <c r="C44" s="54">
        <f>'05-DASH'!C12</f>
        <v>1.1120022513015337</v>
      </c>
      <c r="D44" s="54">
        <f>'05-DASH'!D12</f>
        <v>1.7781996872905963</v>
      </c>
    </row>
    <row r="45" spans="1:6" x14ac:dyDescent="0.2">
      <c r="A45" s="55" t="s">
        <v>170</v>
      </c>
    </row>
    <row r="48" spans="1:6" x14ac:dyDescent="0.2">
      <c r="A48" s="4" t="s">
        <v>162</v>
      </c>
      <c r="B48" s="4" t="s">
        <v>2</v>
      </c>
      <c r="C48" s="4" t="s">
        <v>3</v>
      </c>
      <c r="D48" s="4" t="s">
        <v>4</v>
      </c>
      <c r="E48" s="4" t="s">
        <v>116</v>
      </c>
      <c r="F48" s="4" t="s">
        <v>117</v>
      </c>
    </row>
    <row r="49" spans="1:6" x14ac:dyDescent="0.2">
      <c r="A49" t="s">
        <v>171</v>
      </c>
      <c r="B49" s="1">
        <f>'02-IS'!B24</f>
        <v>5070</v>
      </c>
      <c r="C49" s="1">
        <f>'02-IS'!C24</f>
        <v>5700</v>
      </c>
      <c r="D49" s="1">
        <f>'02-IS'!D24</f>
        <v>3219</v>
      </c>
      <c r="E49" s="1">
        <f>'02-IS'!J24</f>
        <v>5324.6401112500034</v>
      </c>
      <c r="F49" s="1">
        <f>'02-IS'!K24</f>
        <v>6123.1629852624983</v>
      </c>
    </row>
    <row r="52" spans="1:6" x14ac:dyDescent="0.2">
      <c r="A52" s="56" t="s">
        <v>225</v>
      </c>
    </row>
    <row r="53" spans="1:6" x14ac:dyDescent="0.2">
      <c r="A53" s="55" t="s">
        <v>226</v>
      </c>
    </row>
    <row r="54" spans="1:6" x14ac:dyDescent="0.2">
      <c r="A54" s="55" t="s">
        <v>227</v>
      </c>
    </row>
    <row r="55" spans="1:6" x14ac:dyDescent="0.2">
      <c r="A55" s="55" t="s">
        <v>228</v>
      </c>
    </row>
    <row r="56" spans="1:6" x14ac:dyDescent="0.2">
      <c r="A56" s="55" t="s">
        <v>229</v>
      </c>
    </row>
    <row r="57" spans="1:6" x14ac:dyDescent="0.2">
      <c r="A57" s="55" t="s">
        <v>230</v>
      </c>
    </row>
    <row r="58" spans="1:6" x14ac:dyDescent="0.2">
      <c r="A58" s="55" t="s">
        <v>231</v>
      </c>
    </row>
    <row r="59" spans="1:6" x14ac:dyDescent="0.2">
      <c r="A59" s="55" t="s">
        <v>232</v>
      </c>
    </row>
    <row r="60" spans="1:6" x14ac:dyDescent="0.2">
      <c r="A60" s="55" t="s">
        <v>233</v>
      </c>
    </row>
    <row r="61" spans="1:6" x14ac:dyDescent="0.2">
      <c r="A61" s="55" t="s">
        <v>234</v>
      </c>
    </row>
    <row r="62" spans="1:6" x14ac:dyDescent="0.2">
      <c r="A62" s="55" t="s">
        <v>235</v>
      </c>
    </row>
    <row r="63" spans="1:6" x14ac:dyDescent="0.2">
      <c r="A63" s="55" t="s">
        <v>236</v>
      </c>
    </row>
    <row r="64" spans="1:6" x14ac:dyDescent="0.2">
      <c r="A64" s="55" t="s">
        <v>237</v>
      </c>
    </row>
    <row r="65" spans="1:1" x14ac:dyDescent="0.2">
      <c r="A65" s="55" t="s">
        <v>238</v>
      </c>
    </row>
    <row r="66" spans="1:1" x14ac:dyDescent="0.2">
      <c r="A66" s="55" t="s">
        <v>239</v>
      </c>
    </row>
    <row r="67" spans="1:1" x14ac:dyDescent="0.2">
      <c r="A67" s="55" t="s">
        <v>240</v>
      </c>
    </row>
    <row r="68" spans="1:1" x14ac:dyDescent="0.2">
      <c r="A68" s="55" t="s">
        <v>241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01-Assumption</vt:lpstr>
      <vt:lpstr>02-IS</vt:lpstr>
      <vt:lpstr>03-CFS</vt:lpstr>
      <vt:lpstr>04-BS</vt:lpstr>
      <vt:lpstr>05-DASH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Coignet, Matthieu</dc:creator>
  <cp:lastModifiedBy>Coignet, Matthieu</cp:lastModifiedBy>
  <dcterms:created xsi:type="dcterms:W3CDTF">2026-05-18T16:47:17Z</dcterms:created>
  <dcterms:modified xsi:type="dcterms:W3CDTF">2026-06-06T14:18:40Z</dcterms:modified>
</cp:coreProperties>
</file>